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ystem\GeneradorReportesX\Analitica\"/>
    </mc:Choice>
  </mc:AlternateContent>
  <xr:revisionPtr revIDLastSave="0" documentId="13_ncr:1_{982B234E-A515-4B86-AD59-CBA9286EC55A}" xr6:coauthVersionLast="47" xr6:coauthVersionMax="47" xr10:uidLastSave="{00000000-0000-0000-0000-000000000000}"/>
  <bookViews>
    <workbookView xWindow="-108" yWindow="-108" windowWidth="23256" windowHeight="12456" xr2:uid="{8D9817FF-10D3-4917-B549-0919FA55C1C7}"/>
  </bookViews>
  <sheets>
    <sheet name="BalanceMensual (2)" sheetId="4" r:id="rId1"/>
  </sheets>
  <externalReferences>
    <externalReference r:id="rId2"/>
  </externalReferences>
  <definedNames>
    <definedName name="_xlnm._FilterDatabase" localSheetId="0" hidden="1">'BalanceMensual (2)'!$B$20:$C$42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8" i="4" l="1"/>
  <c r="D9" i="4"/>
  <c r="C21" i="4"/>
  <c r="E37" i="4"/>
  <c r="E29" i="4"/>
  <c r="F26" i="4"/>
  <c r="E40" i="4"/>
  <c r="G22" i="4"/>
  <c r="C24" i="4"/>
  <c r="E35" i="4"/>
  <c r="C35" i="4"/>
  <c r="F34" i="4"/>
  <c r="F30" i="4"/>
  <c r="D39" i="4"/>
  <c r="E38" i="4"/>
  <c r="G38" i="4"/>
  <c r="E23" i="4"/>
  <c r="D32" i="4"/>
  <c r="D27" i="4"/>
  <c r="F32" i="4"/>
  <c r="E30" i="4"/>
  <c r="G24" i="4"/>
  <c r="C23" i="4"/>
  <c r="C27" i="4"/>
  <c r="D24" i="4"/>
  <c r="F35" i="4"/>
  <c r="E39" i="4"/>
  <c r="F40" i="4"/>
  <c r="C33" i="4"/>
  <c r="D30" i="4"/>
  <c r="G35" i="4"/>
  <c r="G34" i="4"/>
  <c r="F23" i="4"/>
  <c r="D31" i="4"/>
  <c r="F21" i="4"/>
  <c r="E24" i="4"/>
  <c r="G32" i="4"/>
  <c r="D38" i="4"/>
  <c r="G30" i="4"/>
  <c r="G29" i="4"/>
  <c r="D36" i="4"/>
  <c r="G27" i="4"/>
  <c r="F28" i="4"/>
  <c r="D21" i="4"/>
  <c r="G31" i="4"/>
  <c r="C30" i="4"/>
  <c r="G42" i="4"/>
  <c r="D37" i="4"/>
  <c r="F24" i="4"/>
  <c r="G21" i="4"/>
  <c r="E28" i="4"/>
  <c r="E25" i="4"/>
  <c r="D22" i="4"/>
  <c r="C31" i="4"/>
  <c r="F39" i="4"/>
  <c r="G26" i="4"/>
  <c r="C34" i="4"/>
  <c r="F27" i="4"/>
  <c r="D33" i="4"/>
  <c r="F38" i="4"/>
  <c r="F36" i="4"/>
  <c r="C28" i="4"/>
  <c r="C25" i="4"/>
  <c r="E22" i="4"/>
  <c r="D34" i="4"/>
  <c r="G33" i="4"/>
  <c r="F33" i="4"/>
  <c r="F25" i="4"/>
  <c r="G23" i="4"/>
  <c r="G37" i="4"/>
  <c r="G36" i="4"/>
  <c r="D25" i="4"/>
  <c r="F31" i="4"/>
  <c r="C36" i="4"/>
  <c r="D40" i="4"/>
  <c r="E36" i="4"/>
  <c r="D26" i="4"/>
  <c r="E32" i="4"/>
  <c r="E34" i="4"/>
  <c r="D28" i="4"/>
  <c r="E21" i="4"/>
  <c r="C40" i="4"/>
  <c r="F37" i="4"/>
  <c r="C37" i="4"/>
  <c r="C26" i="4"/>
  <c r="B17" i="4"/>
  <c r="D23" i="4"/>
  <c r="E31" i="4"/>
  <c r="G28" i="4"/>
  <c r="C32" i="4"/>
  <c r="E27" i="4"/>
  <c r="C22" i="4"/>
  <c r="E26" i="4"/>
  <c r="G25" i="4"/>
  <c r="D29" i="4"/>
  <c r="C38" i="4"/>
  <c r="D35" i="4"/>
  <c r="B16" i="4"/>
  <c r="F29" i="4"/>
  <c r="F22" i="4"/>
  <c r="D42" i="4"/>
  <c r="C39" i="4"/>
  <c r="C29" i="4"/>
  <c r="E33" i="4"/>
  <c r="G40" i="4"/>
  <c r="G39" i="4"/>
  <c r="E42" i="4" l="1"/>
  <c r="F42" i="4"/>
</calcChain>
</file>

<file path=xl/sharedStrings.xml><?xml version="1.0" encoding="utf-8"?>
<sst xmlns="http://schemas.openxmlformats.org/spreadsheetml/2006/main" count="29" uniqueCount="28">
  <si>
    <t>Debito</t>
  </si>
  <si>
    <t>Credito</t>
  </si>
  <si>
    <t>4</t>
  </si>
  <si>
    <t>INICIO-PARAMETROS</t>
  </si>
  <si>
    <t>REPORTE</t>
  </si>
  <si>
    <t>Mes_BalanceMensual.xls</t>
  </si>
  <si>
    <t>PLANILLA BASE</t>
  </si>
  <si>
    <t>Balance Mensual</t>
  </si>
  <si>
    <t>NIVEL</t>
  </si>
  <si>
    <t>ACUMULADO</t>
  </si>
  <si>
    <t>A</t>
  </si>
  <si>
    <t>EMPRESA</t>
  </si>
  <si>
    <t>TODOTERRENO2026</t>
  </si>
  <si>
    <t>AÑO1</t>
  </si>
  <si>
    <t>AÑO2</t>
  </si>
  <si>
    <t>MES INICIAL</t>
  </si>
  <si>
    <t>MES FINAL</t>
  </si>
  <si>
    <t>NATURALEZA</t>
  </si>
  <si>
    <t>DB</t>
  </si>
  <si>
    <t>CR</t>
  </si>
  <si>
    <t>DEPURAR</t>
  </si>
  <si>
    <t>D,E,F,G</t>
  </si>
  <si>
    <t>FIN-PARAMETROS</t>
  </si>
  <si>
    <t>Codigo</t>
  </si>
  <si>
    <t>Descripción</t>
  </si>
  <si>
    <t>Saldo Inicial</t>
  </si>
  <si>
    <t>Saldo Final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</si>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</sst>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 &quot;de&quot;\ mmmm\ &quot;de&quot;\ yyyy"/>
    <numFmt numFmtId="165" formatCode="_-* #,##0.00\ _€_-;\-* #,##0.00\ _€_-;_-* &quot;-&quot;??\ _€_-;_-@_-"/>
    <numFmt numFmtId="166" formatCode="_-* #,##0.00_-;\-* #,##0.0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Arial"/>
      <family val="2"/>
    </font>
    <font>
      <b/>
      <sz val="10"/>
      <name val="Verdana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20"/>
      <name val="Arial"/>
      <family val="2"/>
    </font>
    <font>
      <b/>
      <sz val="13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0" fillId="3" borderId="2" xfId="0" applyFill="1" applyBorder="1"/>
    <xf numFmtId="0" fontId="3" fillId="3" borderId="3" xfId="0" applyFont="1" applyFill="1" applyBorder="1"/>
    <xf numFmtId="4" fontId="0" fillId="3" borderId="3" xfId="0" applyNumberFormat="1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4" fillId="3" borderId="0" xfId="0" applyFont="1" applyFill="1" applyAlignment="1">
      <alignment horizontal="right" indent="1"/>
    </xf>
    <xf numFmtId="49" fontId="0" fillId="4" borderId="1" xfId="0" applyNumberFormat="1" applyFill="1" applyBorder="1"/>
    <xf numFmtId="0" fontId="0" fillId="3" borderId="0" xfId="0" applyFill="1"/>
    <xf numFmtId="0" fontId="0" fillId="3" borderId="6" xfId="0" applyFill="1" applyBorder="1"/>
    <xf numFmtId="4" fontId="4" fillId="3" borderId="0" xfId="0" applyNumberFormat="1" applyFont="1" applyFill="1" applyAlignment="1">
      <alignment horizontal="right" indent="1"/>
    </xf>
    <xf numFmtId="0" fontId="5" fillId="4" borderId="1" xfId="0" applyFont="1" applyFill="1" applyBorder="1" applyAlignment="1">
      <alignment horizontal="left"/>
    </xf>
    <xf numFmtId="1" fontId="0" fillId="4" borderId="1" xfId="0" applyNumberFormat="1" applyFill="1" applyBorder="1" applyAlignment="1">
      <alignment horizontal="left"/>
    </xf>
    <xf numFmtId="0" fontId="0" fillId="4" borderId="1" xfId="0" applyFill="1" applyBorder="1"/>
    <xf numFmtId="0" fontId="0" fillId="3" borderId="7" xfId="0" applyFill="1" applyBorder="1"/>
    <xf numFmtId="0" fontId="4" fillId="3" borderId="8" xfId="0" applyFont="1" applyFill="1" applyBorder="1" applyAlignment="1">
      <alignment horizontal="left"/>
    </xf>
    <xf numFmtId="0" fontId="0" fillId="3" borderId="8" xfId="0" applyFill="1" applyBorder="1"/>
    <xf numFmtId="0" fontId="0" fillId="3" borderId="9" xfId="0" applyFill="1" applyBorder="1"/>
    <xf numFmtId="0" fontId="2" fillId="2" borderId="0" xfId="0" applyFont="1" applyFill="1"/>
    <xf numFmtId="0" fontId="8" fillId="6" borderId="10" xfId="0" applyFont="1" applyFill="1" applyBorder="1" applyAlignment="1">
      <alignment horizontal="center"/>
    </xf>
    <xf numFmtId="0" fontId="8" fillId="6" borderId="11" xfId="0" applyFont="1" applyFill="1" applyBorder="1" applyAlignment="1">
      <alignment horizontal="center"/>
    </xf>
    <xf numFmtId="49" fontId="8" fillId="6" borderId="11" xfId="0" applyNumberFormat="1" applyFont="1" applyFill="1" applyBorder="1" applyAlignment="1">
      <alignment horizontal="center"/>
    </xf>
    <xf numFmtId="0" fontId="8" fillId="6" borderId="11" xfId="0" applyFont="1" applyFill="1" applyBorder="1"/>
    <xf numFmtId="0" fontId="5" fillId="3" borderId="10" xfId="0" applyFont="1" applyFill="1" applyBorder="1" applyAlignment="1">
      <alignment horizontal="left"/>
    </xf>
    <xf numFmtId="4" fontId="5" fillId="3" borderId="10" xfId="1" applyNumberFormat="1" applyFont="1" applyFill="1" applyBorder="1" applyAlignment="1">
      <alignment horizontal="right"/>
    </xf>
    <xf numFmtId="4" fontId="0" fillId="2" borderId="0" xfId="0" applyNumberFormat="1" applyFill="1"/>
    <xf numFmtId="166" fontId="0" fillId="2" borderId="0" xfId="0" applyNumberFormat="1" applyFill="1"/>
    <xf numFmtId="4" fontId="5" fillId="3" borderId="10" xfId="1" applyNumberFormat="1" applyFont="1" applyFill="1" applyBorder="1" applyAlignment="1">
      <alignment horizontal="left"/>
    </xf>
    <xf numFmtId="0" fontId="8" fillId="6" borderId="10" xfId="0" applyFont="1" applyFill="1" applyBorder="1"/>
    <xf numFmtId="4" fontId="8" fillId="6" borderId="10" xfId="1" applyNumberFormat="1" applyFont="1" applyFill="1" applyBorder="1" applyAlignment="1">
      <alignment horizontal="center"/>
    </xf>
    <xf numFmtId="164" fontId="0" fillId="0" borderId="3" xfId="0" applyNumberFormat="1" applyBorder="1" applyAlignment="1">
      <alignment horizontal="right"/>
    </xf>
    <xf numFmtId="0" fontId="6" fillId="5" borderId="0" xfId="0" applyFont="1" applyFill="1" applyAlignment="1">
      <alignment horizontal="center" vertical="top" wrapText="1"/>
    </xf>
    <xf numFmtId="0" fontId="7" fillId="5" borderId="0" xfId="0" applyFont="1" applyFill="1" applyAlignment="1">
      <alignment horizontal="center" vertical="top" wrapText="1"/>
    </xf>
    <xf numFmtId="164" fontId="0" fillId="2" borderId="0" xfId="0" applyNumberFormat="1" applyFill="1" applyAlignment="1">
      <alignment horizontal="right"/>
    </xf>
    <xf numFmtId="164" fontId="0" fillId="0" borderId="0" xfId="0" applyNumberFormat="1" applyAlignment="1">
      <alignment horizontal="right"/>
    </xf>
  </cellXfs>
  <cellStyles count="2">
    <cellStyle name="Millares 2" xfId="1" xr:uid="{8936A33B-9955-4A8E-A3CB-24F4D2C831F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OFIMATICA\OFIMAENTERPRISE\ATLASCS\ComplementoXLAOfima\ofima.xla" TargetMode="External"/><Relationship Id="rId1" Type="http://schemas.openxmlformats.org/officeDocument/2006/relationships/externalLinkPath" Target="/OFIMATICA/OFIMAENTERPRISE/ATLASCS/ComplementoXLAOfima/ofima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Global"/>
      <sheetName val="LOG_CARGA_MVTOAUX"/>
    </sheetNames>
    <definedNames>
      <definedName name="NOMBRECTA"/>
      <definedName name="NombreMesInt"/>
      <definedName name="nomcia"/>
      <definedName name="SaldoContableCtaDBCR"/>
      <definedName name="SALDOCONTABLECUENTA"/>
      <definedName name="SaldoContableCuentaCadena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235B3-2AE8-45A2-8EF3-006885A49AA2}">
  <sheetPr>
    <tabColor rgb="FF92D050"/>
  </sheetPr>
  <dimension ref="A1:AG423"/>
  <sheetViews>
    <sheetView tabSelected="1" zoomScaleNormal="100" workbookViewId="0">
      <selection activeCell="F21" sqref="F21"/>
    </sheetView>
  </sheetViews>
  <sheetFormatPr baseColWidth="10" defaultRowHeight="14.4" outlineLevelRow="1" x14ac:dyDescent="0.3"/>
  <cols>
    <col min="1" max="1" width="7.5546875" style="1" customWidth="1"/>
    <col min="2" max="2" width="15.6640625" customWidth="1"/>
    <col min="3" max="3" width="50.6640625" customWidth="1"/>
    <col min="4" max="7" width="20.6640625" customWidth="1"/>
    <col min="8" max="8" width="11.5546875" style="1" customWidth="1"/>
    <col min="9" max="9" width="14.109375" style="1" bestFit="1" customWidth="1"/>
    <col min="10" max="27" width="11.5546875" style="1" customWidth="1"/>
    <col min="28" max="33" width="11.5546875" customWidth="1"/>
    <col min="257" max="257" width="7.5546875" customWidth="1"/>
    <col min="258" max="258" width="15.6640625" customWidth="1"/>
    <col min="259" max="259" width="50.6640625" customWidth="1"/>
    <col min="260" max="263" width="20.6640625" customWidth="1"/>
    <col min="265" max="265" width="14.109375" bestFit="1" customWidth="1"/>
    <col min="513" max="513" width="7.5546875" customWidth="1"/>
    <col min="514" max="514" width="15.6640625" customWidth="1"/>
    <col min="515" max="515" width="50.6640625" customWidth="1"/>
    <col min="516" max="519" width="20.6640625" customWidth="1"/>
    <col min="521" max="521" width="14.109375" bestFit="1" customWidth="1"/>
    <col min="769" max="769" width="7.5546875" customWidth="1"/>
    <col min="770" max="770" width="15.6640625" customWidth="1"/>
    <col min="771" max="771" width="50.6640625" customWidth="1"/>
    <col min="772" max="775" width="20.6640625" customWidth="1"/>
    <col min="777" max="777" width="14.109375" bestFit="1" customWidth="1"/>
    <col min="1025" max="1025" width="7.5546875" customWidth="1"/>
    <col min="1026" max="1026" width="15.6640625" customWidth="1"/>
    <col min="1027" max="1027" width="50.6640625" customWidth="1"/>
    <col min="1028" max="1031" width="20.6640625" customWidth="1"/>
    <col min="1033" max="1033" width="14.109375" bestFit="1" customWidth="1"/>
    <col min="1281" max="1281" width="7.5546875" customWidth="1"/>
    <col min="1282" max="1282" width="15.6640625" customWidth="1"/>
    <col min="1283" max="1283" width="50.6640625" customWidth="1"/>
    <col min="1284" max="1287" width="20.6640625" customWidth="1"/>
    <col min="1289" max="1289" width="14.109375" bestFit="1" customWidth="1"/>
    <col min="1537" max="1537" width="7.5546875" customWidth="1"/>
    <col min="1538" max="1538" width="15.6640625" customWidth="1"/>
    <col min="1539" max="1539" width="50.6640625" customWidth="1"/>
    <col min="1540" max="1543" width="20.6640625" customWidth="1"/>
    <col min="1545" max="1545" width="14.109375" bestFit="1" customWidth="1"/>
    <col min="1793" max="1793" width="7.5546875" customWidth="1"/>
    <col min="1794" max="1794" width="15.6640625" customWidth="1"/>
    <col min="1795" max="1795" width="50.6640625" customWidth="1"/>
    <col min="1796" max="1799" width="20.6640625" customWidth="1"/>
    <col min="1801" max="1801" width="14.109375" bestFit="1" customWidth="1"/>
    <col min="2049" max="2049" width="7.5546875" customWidth="1"/>
    <col min="2050" max="2050" width="15.6640625" customWidth="1"/>
    <col min="2051" max="2051" width="50.6640625" customWidth="1"/>
    <col min="2052" max="2055" width="20.6640625" customWidth="1"/>
    <col min="2057" max="2057" width="14.109375" bestFit="1" customWidth="1"/>
    <col min="2305" max="2305" width="7.5546875" customWidth="1"/>
    <col min="2306" max="2306" width="15.6640625" customWidth="1"/>
    <col min="2307" max="2307" width="50.6640625" customWidth="1"/>
    <col min="2308" max="2311" width="20.6640625" customWidth="1"/>
    <col min="2313" max="2313" width="14.109375" bestFit="1" customWidth="1"/>
    <col min="2561" max="2561" width="7.5546875" customWidth="1"/>
    <col min="2562" max="2562" width="15.6640625" customWidth="1"/>
    <col min="2563" max="2563" width="50.6640625" customWidth="1"/>
    <col min="2564" max="2567" width="20.6640625" customWidth="1"/>
    <col min="2569" max="2569" width="14.109375" bestFit="1" customWidth="1"/>
    <col min="2817" max="2817" width="7.5546875" customWidth="1"/>
    <col min="2818" max="2818" width="15.6640625" customWidth="1"/>
    <col min="2819" max="2819" width="50.6640625" customWidth="1"/>
    <col min="2820" max="2823" width="20.6640625" customWidth="1"/>
    <col min="2825" max="2825" width="14.109375" bestFit="1" customWidth="1"/>
    <col min="3073" max="3073" width="7.5546875" customWidth="1"/>
    <col min="3074" max="3074" width="15.6640625" customWidth="1"/>
    <col min="3075" max="3075" width="50.6640625" customWidth="1"/>
    <col min="3076" max="3079" width="20.6640625" customWidth="1"/>
    <col min="3081" max="3081" width="14.109375" bestFit="1" customWidth="1"/>
    <col min="3329" max="3329" width="7.5546875" customWidth="1"/>
    <col min="3330" max="3330" width="15.6640625" customWidth="1"/>
    <col min="3331" max="3331" width="50.6640625" customWidth="1"/>
    <col min="3332" max="3335" width="20.6640625" customWidth="1"/>
    <col min="3337" max="3337" width="14.109375" bestFit="1" customWidth="1"/>
    <col min="3585" max="3585" width="7.5546875" customWidth="1"/>
    <col min="3586" max="3586" width="15.6640625" customWidth="1"/>
    <col min="3587" max="3587" width="50.6640625" customWidth="1"/>
    <col min="3588" max="3591" width="20.6640625" customWidth="1"/>
    <col min="3593" max="3593" width="14.109375" bestFit="1" customWidth="1"/>
    <col min="3841" max="3841" width="7.5546875" customWidth="1"/>
    <col min="3842" max="3842" width="15.6640625" customWidth="1"/>
    <col min="3843" max="3843" width="50.6640625" customWidth="1"/>
    <col min="3844" max="3847" width="20.6640625" customWidth="1"/>
    <col min="3849" max="3849" width="14.109375" bestFit="1" customWidth="1"/>
    <col min="4097" max="4097" width="7.5546875" customWidth="1"/>
    <col min="4098" max="4098" width="15.6640625" customWidth="1"/>
    <col min="4099" max="4099" width="50.6640625" customWidth="1"/>
    <col min="4100" max="4103" width="20.6640625" customWidth="1"/>
    <col min="4105" max="4105" width="14.109375" bestFit="1" customWidth="1"/>
    <col min="4353" max="4353" width="7.5546875" customWidth="1"/>
    <col min="4354" max="4354" width="15.6640625" customWidth="1"/>
    <col min="4355" max="4355" width="50.6640625" customWidth="1"/>
    <col min="4356" max="4359" width="20.6640625" customWidth="1"/>
    <col min="4361" max="4361" width="14.109375" bestFit="1" customWidth="1"/>
    <col min="4609" max="4609" width="7.5546875" customWidth="1"/>
    <col min="4610" max="4610" width="15.6640625" customWidth="1"/>
    <col min="4611" max="4611" width="50.6640625" customWidth="1"/>
    <col min="4612" max="4615" width="20.6640625" customWidth="1"/>
    <col min="4617" max="4617" width="14.109375" bestFit="1" customWidth="1"/>
    <col min="4865" max="4865" width="7.5546875" customWidth="1"/>
    <col min="4866" max="4866" width="15.6640625" customWidth="1"/>
    <col min="4867" max="4867" width="50.6640625" customWidth="1"/>
    <col min="4868" max="4871" width="20.6640625" customWidth="1"/>
    <col min="4873" max="4873" width="14.109375" bestFit="1" customWidth="1"/>
    <col min="5121" max="5121" width="7.5546875" customWidth="1"/>
    <col min="5122" max="5122" width="15.6640625" customWidth="1"/>
    <col min="5123" max="5123" width="50.6640625" customWidth="1"/>
    <col min="5124" max="5127" width="20.6640625" customWidth="1"/>
    <col min="5129" max="5129" width="14.109375" bestFit="1" customWidth="1"/>
    <col min="5377" max="5377" width="7.5546875" customWidth="1"/>
    <col min="5378" max="5378" width="15.6640625" customWidth="1"/>
    <col min="5379" max="5379" width="50.6640625" customWidth="1"/>
    <col min="5380" max="5383" width="20.6640625" customWidth="1"/>
    <col min="5385" max="5385" width="14.109375" bestFit="1" customWidth="1"/>
    <col min="5633" max="5633" width="7.5546875" customWidth="1"/>
    <col min="5634" max="5634" width="15.6640625" customWidth="1"/>
    <col min="5635" max="5635" width="50.6640625" customWidth="1"/>
    <col min="5636" max="5639" width="20.6640625" customWidth="1"/>
    <col min="5641" max="5641" width="14.109375" bestFit="1" customWidth="1"/>
    <col min="5889" max="5889" width="7.5546875" customWidth="1"/>
    <col min="5890" max="5890" width="15.6640625" customWidth="1"/>
    <col min="5891" max="5891" width="50.6640625" customWidth="1"/>
    <col min="5892" max="5895" width="20.6640625" customWidth="1"/>
    <col min="5897" max="5897" width="14.109375" bestFit="1" customWidth="1"/>
    <col min="6145" max="6145" width="7.5546875" customWidth="1"/>
    <col min="6146" max="6146" width="15.6640625" customWidth="1"/>
    <col min="6147" max="6147" width="50.6640625" customWidth="1"/>
    <col min="6148" max="6151" width="20.6640625" customWidth="1"/>
    <col min="6153" max="6153" width="14.109375" bestFit="1" customWidth="1"/>
    <col min="6401" max="6401" width="7.5546875" customWidth="1"/>
    <col min="6402" max="6402" width="15.6640625" customWidth="1"/>
    <col min="6403" max="6403" width="50.6640625" customWidth="1"/>
    <col min="6404" max="6407" width="20.6640625" customWidth="1"/>
    <col min="6409" max="6409" width="14.109375" bestFit="1" customWidth="1"/>
    <col min="6657" max="6657" width="7.5546875" customWidth="1"/>
    <col min="6658" max="6658" width="15.6640625" customWidth="1"/>
    <col min="6659" max="6659" width="50.6640625" customWidth="1"/>
    <col min="6660" max="6663" width="20.6640625" customWidth="1"/>
    <col min="6665" max="6665" width="14.109375" bestFit="1" customWidth="1"/>
    <col min="6913" max="6913" width="7.5546875" customWidth="1"/>
    <col min="6914" max="6914" width="15.6640625" customWidth="1"/>
    <col min="6915" max="6915" width="50.6640625" customWidth="1"/>
    <col min="6916" max="6919" width="20.6640625" customWidth="1"/>
    <col min="6921" max="6921" width="14.109375" bestFit="1" customWidth="1"/>
    <col min="7169" max="7169" width="7.5546875" customWidth="1"/>
    <col min="7170" max="7170" width="15.6640625" customWidth="1"/>
    <col min="7171" max="7171" width="50.6640625" customWidth="1"/>
    <col min="7172" max="7175" width="20.6640625" customWidth="1"/>
    <col min="7177" max="7177" width="14.109375" bestFit="1" customWidth="1"/>
    <col min="7425" max="7425" width="7.5546875" customWidth="1"/>
    <col min="7426" max="7426" width="15.6640625" customWidth="1"/>
    <col min="7427" max="7427" width="50.6640625" customWidth="1"/>
    <col min="7428" max="7431" width="20.6640625" customWidth="1"/>
    <col min="7433" max="7433" width="14.109375" bestFit="1" customWidth="1"/>
    <col min="7681" max="7681" width="7.5546875" customWidth="1"/>
    <col min="7682" max="7682" width="15.6640625" customWidth="1"/>
    <col min="7683" max="7683" width="50.6640625" customWidth="1"/>
    <col min="7684" max="7687" width="20.6640625" customWidth="1"/>
    <col min="7689" max="7689" width="14.109375" bestFit="1" customWidth="1"/>
    <col min="7937" max="7937" width="7.5546875" customWidth="1"/>
    <col min="7938" max="7938" width="15.6640625" customWidth="1"/>
    <col min="7939" max="7939" width="50.6640625" customWidth="1"/>
    <col min="7940" max="7943" width="20.6640625" customWidth="1"/>
    <col min="7945" max="7945" width="14.109375" bestFit="1" customWidth="1"/>
    <col min="8193" max="8193" width="7.5546875" customWidth="1"/>
    <col min="8194" max="8194" width="15.6640625" customWidth="1"/>
    <col min="8195" max="8195" width="50.6640625" customWidth="1"/>
    <col min="8196" max="8199" width="20.6640625" customWidth="1"/>
    <col min="8201" max="8201" width="14.109375" bestFit="1" customWidth="1"/>
    <col min="8449" max="8449" width="7.5546875" customWidth="1"/>
    <col min="8450" max="8450" width="15.6640625" customWidth="1"/>
    <col min="8451" max="8451" width="50.6640625" customWidth="1"/>
    <col min="8452" max="8455" width="20.6640625" customWidth="1"/>
    <col min="8457" max="8457" width="14.109375" bestFit="1" customWidth="1"/>
    <col min="8705" max="8705" width="7.5546875" customWidth="1"/>
    <col min="8706" max="8706" width="15.6640625" customWidth="1"/>
    <col min="8707" max="8707" width="50.6640625" customWidth="1"/>
    <col min="8708" max="8711" width="20.6640625" customWidth="1"/>
    <col min="8713" max="8713" width="14.109375" bestFit="1" customWidth="1"/>
    <col min="8961" max="8961" width="7.5546875" customWidth="1"/>
    <col min="8962" max="8962" width="15.6640625" customWidth="1"/>
    <col min="8963" max="8963" width="50.6640625" customWidth="1"/>
    <col min="8964" max="8967" width="20.6640625" customWidth="1"/>
    <col min="8969" max="8969" width="14.109375" bestFit="1" customWidth="1"/>
    <col min="9217" max="9217" width="7.5546875" customWidth="1"/>
    <col min="9218" max="9218" width="15.6640625" customWidth="1"/>
    <col min="9219" max="9219" width="50.6640625" customWidth="1"/>
    <col min="9220" max="9223" width="20.6640625" customWidth="1"/>
    <col min="9225" max="9225" width="14.109375" bestFit="1" customWidth="1"/>
    <col min="9473" max="9473" width="7.5546875" customWidth="1"/>
    <col min="9474" max="9474" width="15.6640625" customWidth="1"/>
    <col min="9475" max="9475" width="50.6640625" customWidth="1"/>
    <col min="9476" max="9479" width="20.6640625" customWidth="1"/>
    <col min="9481" max="9481" width="14.109375" bestFit="1" customWidth="1"/>
    <col min="9729" max="9729" width="7.5546875" customWidth="1"/>
    <col min="9730" max="9730" width="15.6640625" customWidth="1"/>
    <col min="9731" max="9731" width="50.6640625" customWidth="1"/>
    <col min="9732" max="9735" width="20.6640625" customWidth="1"/>
    <col min="9737" max="9737" width="14.109375" bestFit="1" customWidth="1"/>
    <col min="9985" max="9985" width="7.5546875" customWidth="1"/>
    <col min="9986" max="9986" width="15.6640625" customWidth="1"/>
    <col min="9987" max="9987" width="50.6640625" customWidth="1"/>
    <col min="9988" max="9991" width="20.6640625" customWidth="1"/>
    <col min="9993" max="9993" width="14.109375" bestFit="1" customWidth="1"/>
    <col min="10241" max="10241" width="7.5546875" customWidth="1"/>
    <col min="10242" max="10242" width="15.6640625" customWidth="1"/>
    <col min="10243" max="10243" width="50.6640625" customWidth="1"/>
    <col min="10244" max="10247" width="20.6640625" customWidth="1"/>
    <col min="10249" max="10249" width="14.109375" bestFit="1" customWidth="1"/>
    <col min="10497" max="10497" width="7.5546875" customWidth="1"/>
    <col min="10498" max="10498" width="15.6640625" customWidth="1"/>
    <col min="10499" max="10499" width="50.6640625" customWidth="1"/>
    <col min="10500" max="10503" width="20.6640625" customWidth="1"/>
    <col min="10505" max="10505" width="14.109375" bestFit="1" customWidth="1"/>
    <col min="10753" max="10753" width="7.5546875" customWidth="1"/>
    <col min="10754" max="10754" width="15.6640625" customWidth="1"/>
    <col min="10755" max="10755" width="50.6640625" customWidth="1"/>
    <col min="10756" max="10759" width="20.6640625" customWidth="1"/>
    <col min="10761" max="10761" width="14.109375" bestFit="1" customWidth="1"/>
    <col min="11009" max="11009" width="7.5546875" customWidth="1"/>
    <col min="11010" max="11010" width="15.6640625" customWidth="1"/>
    <col min="11011" max="11011" width="50.6640625" customWidth="1"/>
    <col min="11012" max="11015" width="20.6640625" customWidth="1"/>
    <col min="11017" max="11017" width="14.109375" bestFit="1" customWidth="1"/>
    <col min="11265" max="11265" width="7.5546875" customWidth="1"/>
    <col min="11266" max="11266" width="15.6640625" customWidth="1"/>
    <col min="11267" max="11267" width="50.6640625" customWidth="1"/>
    <col min="11268" max="11271" width="20.6640625" customWidth="1"/>
    <col min="11273" max="11273" width="14.109375" bestFit="1" customWidth="1"/>
    <col min="11521" max="11521" width="7.5546875" customWidth="1"/>
    <col min="11522" max="11522" width="15.6640625" customWidth="1"/>
    <col min="11523" max="11523" width="50.6640625" customWidth="1"/>
    <col min="11524" max="11527" width="20.6640625" customWidth="1"/>
    <col min="11529" max="11529" width="14.109375" bestFit="1" customWidth="1"/>
    <col min="11777" max="11777" width="7.5546875" customWidth="1"/>
    <col min="11778" max="11778" width="15.6640625" customWidth="1"/>
    <col min="11779" max="11779" width="50.6640625" customWidth="1"/>
    <col min="11780" max="11783" width="20.6640625" customWidth="1"/>
    <col min="11785" max="11785" width="14.109375" bestFit="1" customWidth="1"/>
    <col min="12033" max="12033" width="7.5546875" customWidth="1"/>
    <col min="12034" max="12034" width="15.6640625" customWidth="1"/>
    <col min="12035" max="12035" width="50.6640625" customWidth="1"/>
    <col min="12036" max="12039" width="20.6640625" customWidth="1"/>
    <col min="12041" max="12041" width="14.109375" bestFit="1" customWidth="1"/>
    <col min="12289" max="12289" width="7.5546875" customWidth="1"/>
    <col min="12290" max="12290" width="15.6640625" customWidth="1"/>
    <col min="12291" max="12291" width="50.6640625" customWidth="1"/>
    <col min="12292" max="12295" width="20.6640625" customWidth="1"/>
    <col min="12297" max="12297" width="14.109375" bestFit="1" customWidth="1"/>
    <col min="12545" max="12545" width="7.5546875" customWidth="1"/>
    <col min="12546" max="12546" width="15.6640625" customWidth="1"/>
    <col min="12547" max="12547" width="50.6640625" customWidth="1"/>
    <col min="12548" max="12551" width="20.6640625" customWidth="1"/>
    <col min="12553" max="12553" width="14.109375" bestFit="1" customWidth="1"/>
    <col min="12801" max="12801" width="7.5546875" customWidth="1"/>
    <col min="12802" max="12802" width="15.6640625" customWidth="1"/>
    <col min="12803" max="12803" width="50.6640625" customWidth="1"/>
    <col min="12804" max="12807" width="20.6640625" customWidth="1"/>
    <col min="12809" max="12809" width="14.109375" bestFit="1" customWidth="1"/>
    <col min="13057" max="13057" width="7.5546875" customWidth="1"/>
    <col min="13058" max="13058" width="15.6640625" customWidth="1"/>
    <col min="13059" max="13059" width="50.6640625" customWidth="1"/>
    <col min="13060" max="13063" width="20.6640625" customWidth="1"/>
    <col min="13065" max="13065" width="14.109375" bestFit="1" customWidth="1"/>
    <col min="13313" max="13313" width="7.5546875" customWidth="1"/>
    <col min="13314" max="13314" width="15.6640625" customWidth="1"/>
    <col min="13315" max="13315" width="50.6640625" customWidth="1"/>
    <col min="13316" max="13319" width="20.6640625" customWidth="1"/>
    <col min="13321" max="13321" width="14.109375" bestFit="1" customWidth="1"/>
    <col min="13569" max="13569" width="7.5546875" customWidth="1"/>
    <col min="13570" max="13570" width="15.6640625" customWidth="1"/>
    <col min="13571" max="13571" width="50.6640625" customWidth="1"/>
    <col min="13572" max="13575" width="20.6640625" customWidth="1"/>
    <col min="13577" max="13577" width="14.109375" bestFit="1" customWidth="1"/>
    <col min="13825" max="13825" width="7.5546875" customWidth="1"/>
    <col min="13826" max="13826" width="15.6640625" customWidth="1"/>
    <col min="13827" max="13827" width="50.6640625" customWidth="1"/>
    <col min="13828" max="13831" width="20.6640625" customWidth="1"/>
    <col min="13833" max="13833" width="14.109375" bestFit="1" customWidth="1"/>
    <col min="14081" max="14081" width="7.5546875" customWidth="1"/>
    <col min="14082" max="14082" width="15.6640625" customWidth="1"/>
    <col min="14083" max="14083" width="50.6640625" customWidth="1"/>
    <col min="14084" max="14087" width="20.6640625" customWidth="1"/>
    <col min="14089" max="14089" width="14.109375" bestFit="1" customWidth="1"/>
    <col min="14337" max="14337" width="7.5546875" customWidth="1"/>
    <col min="14338" max="14338" width="15.6640625" customWidth="1"/>
    <col min="14339" max="14339" width="50.6640625" customWidth="1"/>
    <col min="14340" max="14343" width="20.6640625" customWidth="1"/>
    <col min="14345" max="14345" width="14.109375" bestFit="1" customWidth="1"/>
    <col min="14593" max="14593" width="7.5546875" customWidth="1"/>
    <col min="14594" max="14594" width="15.6640625" customWidth="1"/>
    <col min="14595" max="14595" width="50.6640625" customWidth="1"/>
    <col min="14596" max="14599" width="20.6640625" customWidth="1"/>
    <col min="14601" max="14601" width="14.109375" bestFit="1" customWidth="1"/>
    <col min="14849" max="14849" width="7.5546875" customWidth="1"/>
    <col min="14850" max="14850" width="15.6640625" customWidth="1"/>
    <col min="14851" max="14851" width="50.6640625" customWidth="1"/>
    <col min="14852" max="14855" width="20.6640625" customWidth="1"/>
    <col min="14857" max="14857" width="14.109375" bestFit="1" customWidth="1"/>
    <col min="15105" max="15105" width="7.5546875" customWidth="1"/>
    <col min="15106" max="15106" width="15.6640625" customWidth="1"/>
    <col min="15107" max="15107" width="50.6640625" customWidth="1"/>
    <col min="15108" max="15111" width="20.6640625" customWidth="1"/>
    <col min="15113" max="15113" width="14.109375" bestFit="1" customWidth="1"/>
    <col min="15361" max="15361" width="7.5546875" customWidth="1"/>
    <col min="15362" max="15362" width="15.6640625" customWidth="1"/>
    <col min="15363" max="15363" width="50.6640625" customWidth="1"/>
    <col min="15364" max="15367" width="20.6640625" customWidth="1"/>
    <col min="15369" max="15369" width="14.109375" bestFit="1" customWidth="1"/>
    <col min="15617" max="15617" width="7.5546875" customWidth="1"/>
    <col min="15618" max="15618" width="15.6640625" customWidth="1"/>
    <col min="15619" max="15619" width="50.6640625" customWidth="1"/>
    <col min="15620" max="15623" width="20.6640625" customWidth="1"/>
    <col min="15625" max="15625" width="14.109375" bestFit="1" customWidth="1"/>
    <col min="15873" max="15873" width="7.5546875" customWidth="1"/>
    <col min="15874" max="15874" width="15.6640625" customWidth="1"/>
    <col min="15875" max="15875" width="50.6640625" customWidth="1"/>
    <col min="15876" max="15879" width="20.6640625" customWidth="1"/>
    <col min="15881" max="15881" width="14.109375" bestFit="1" customWidth="1"/>
    <col min="16129" max="16129" width="7.5546875" customWidth="1"/>
    <col min="16130" max="16130" width="15.6640625" customWidth="1"/>
    <col min="16131" max="16131" width="50.6640625" customWidth="1"/>
    <col min="16132" max="16135" width="20.6640625" customWidth="1"/>
    <col min="16137" max="16137" width="14.109375" bestFit="1" customWidth="1"/>
  </cols>
  <sheetData>
    <row r="1" spans="1:33" ht="15.6" outlineLevel="1" x14ac:dyDescent="0.3">
      <c r="B1" s="2"/>
      <c r="C1" s="3" t="s">
        <v>3</v>
      </c>
      <c r="D1" s="4"/>
      <c r="E1" s="5"/>
      <c r="F1" s="5"/>
      <c r="G1" s="6"/>
    </row>
    <row r="2" spans="1:33" outlineLevel="1" x14ac:dyDescent="0.3">
      <c r="B2" s="7"/>
      <c r="C2" s="8" t="s">
        <v>4</v>
      </c>
      <c r="D2" s="9" t="s">
        <v>5</v>
      </c>
      <c r="E2" s="10"/>
      <c r="F2" s="10"/>
      <c r="G2" s="11"/>
    </row>
    <row r="3" spans="1:33" outlineLevel="1" x14ac:dyDescent="0.3">
      <c r="B3" s="7"/>
      <c r="C3" s="8" t="s">
        <v>6</v>
      </c>
      <c r="D3" s="9" t="s">
        <v>7</v>
      </c>
      <c r="E3" s="10"/>
      <c r="F3" s="10"/>
      <c r="G3" s="11"/>
    </row>
    <row r="4" spans="1:33" outlineLevel="1" x14ac:dyDescent="0.3">
      <c r="B4" s="7"/>
      <c r="C4" s="12" t="s">
        <v>8</v>
      </c>
      <c r="D4" s="13">
        <v>2</v>
      </c>
      <c r="E4" s="10"/>
      <c r="F4" s="10"/>
      <c r="G4" s="11"/>
    </row>
    <row r="5" spans="1:33" outlineLevel="1" x14ac:dyDescent="0.3">
      <c r="B5" s="7"/>
      <c r="C5" s="8" t="s">
        <v>9</v>
      </c>
      <c r="D5" s="9" t="s">
        <v>10</v>
      </c>
      <c r="E5" s="10"/>
      <c r="F5" s="10"/>
      <c r="G5" s="11"/>
    </row>
    <row r="6" spans="1:33" outlineLevel="1" x14ac:dyDescent="0.3">
      <c r="B6" s="7"/>
      <c r="C6" s="8" t="s">
        <v>11</v>
      </c>
      <c r="D6" s="9" t="s">
        <v>12</v>
      </c>
      <c r="E6" s="10"/>
      <c r="F6" s="10"/>
      <c r="G6" s="11"/>
    </row>
    <row r="7" spans="1:33" outlineLevel="1" x14ac:dyDescent="0.3">
      <c r="B7" s="7"/>
      <c r="C7" s="8" t="s">
        <v>13</v>
      </c>
      <c r="D7" s="9">
        <v>2015</v>
      </c>
      <c r="E7" s="10"/>
      <c r="F7" s="10"/>
      <c r="G7" s="11"/>
    </row>
    <row r="8" spans="1:33" outlineLevel="1" x14ac:dyDescent="0.3">
      <c r="B8" s="7"/>
      <c r="C8" s="8" t="s">
        <v>14</v>
      </c>
      <c r="D8" s="14">
        <v>2023</v>
      </c>
      <c r="E8" s="10"/>
      <c r="F8" s="10"/>
      <c r="G8" s="11"/>
    </row>
    <row r="9" spans="1:33" outlineLevel="1" x14ac:dyDescent="0.3">
      <c r="B9" s="7"/>
      <c r="C9" s="12" t="s">
        <v>15</v>
      </c>
      <c r="D9" s="14">
        <f>IF(D10-1=0,13,D10-1)</f>
        <v>3</v>
      </c>
      <c r="E9" s="10"/>
      <c r="F9" s="10"/>
      <c r="G9" s="11"/>
    </row>
    <row r="10" spans="1:33" outlineLevel="1" x14ac:dyDescent="0.3">
      <c r="B10" s="7"/>
      <c r="C10" s="12" t="s">
        <v>16</v>
      </c>
      <c r="D10" s="9" t="s">
        <v>2</v>
      </c>
      <c r="E10" s="10"/>
      <c r="F10" s="10"/>
      <c r="G10" s="11"/>
    </row>
    <row r="11" spans="1:33" outlineLevel="1" x14ac:dyDescent="0.3">
      <c r="B11" s="7"/>
      <c r="C11" s="12" t="s">
        <v>17</v>
      </c>
      <c r="D11" s="9" t="s">
        <v>18</v>
      </c>
      <c r="E11" s="10"/>
      <c r="F11" s="10"/>
      <c r="G11" s="11"/>
    </row>
    <row r="12" spans="1:33" outlineLevel="1" x14ac:dyDescent="0.3">
      <c r="B12" s="7"/>
      <c r="C12" s="12" t="s">
        <v>17</v>
      </c>
      <c r="D12" s="9" t="s">
        <v>19</v>
      </c>
      <c r="E12" s="10"/>
      <c r="F12" s="10"/>
      <c r="G12" s="11"/>
    </row>
    <row r="13" spans="1:33" outlineLevel="1" x14ac:dyDescent="0.3">
      <c r="B13" s="7"/>
      <c r="C13" s="8" t="s">
        <v>20</v>
      </c>
      <c r="D13" s="15" t="s">
        <v>21</v>
      </c>
      <c r="E13" s="10"/>
      <c r="F13" s="10"/>
      <c r="G13" s="11"/>
    </row>
    <row r="14" spans="1:33" ht="23.25" customHeight="1" outlineLevel="1" thickBot="1" x14ac:dyDescent="0.35">
      <c r="B14" s="16"/>
      <c r="C14" s="17" t="s">
        <v>22</v>
      </c>
      <c r="D14" s="18"/>
      <c r="E14" s="18"/>
      <c r="F14" s="18"/>
      <c r="G14" s="19"/>
    </row>
    <row r="15" spans="1:33" s="1" customFormat="1" ht="14.25" customHeight="1" x14ac:dyDescent="0.3">
      <c r="A15" s="20"/>
      <c r="B15" s="32"/>
      <c r="C15" s="32"/>
      <c r="D15" s="32"/>
      <c r="E15" s="32"/>
      <c r="F15" s="32"/>
      <c r="G15" s="32"/>
      <c r="AB15"/>
      <c r="AC15"/>
      <c r="AD15"/>
      <c r="AE15"/>
      <c r="AF15"/>
      <c r="AG15"/>
    </row>
    <row r="16" spans="1:33" ht="20.25" customHeight="1" x14ac:dyDescent="0.3">
      <c r="B16" s="33" t="str">
        <f>[1]!nomcia()</f>
        <v/>
      </c>
      <c r="C16" s="33"/>
      <c r="D16" s="33"/>
      <c r="E16" s="33"/>
      <c r="F16" s="33"/>
      <c r="G16" s="33"/>
    </row>
    <row r="17" spans="1:33" ht="26.25" customHeight="1" x14ac:dyDescent="0.3">
      <c r="B17" s="34" t="str">
        <f>CONCATENATE("Balance  Mensual  ",[1]!NombreMesInt(D10)," ", D7)</f>
        <v>Balance  Mensual  ABRIL 2015</v>
      </c>
      <c r="C17" s="34"/>
      <c r="D17" s="34"/>
      <c r="E17" s="34"/>
      <c r="F17" s="34"/>
      <c r="G17" s="34"/>
    </row>
    <row r="18" spans="1:33" ht="17.25" customHeight="1" x14ac:dyDescent="0.3">
      <c r="B18" s="35">
        <f ca="1">TODAY()</f>
        <v>46135</v>
      </c>
      <c r="C18" s="35"/>
      <c r="D18" s="35"/>
      <c r="E18" s="35"/>
      <c r="F18" s="35"/>
      <c r="G18" s="35"/>
    </row>
    <row r="19" spans="1:33" ht="12" customHeight="1" x14ac:dyDescent="0.3">
      <c r="A19" s="20"/>
      <c r="B19" s="36"/>
      <c r="C19" s="36"/>
      <c r="D19" s="36"/>
      <c r="E19" s="36"/>
      <c r="F19" s="36"/>
      <c r="G19" s="36"/>
    </row>
    <row r="20" spans="1:33" ht="16.8" x14ac:dyDescent="0.3">
      <c r="A20" s="21"/>
      <c r="B20" s="22" t="s">
        <v>23</v>
      </c>
      <c r="C20" s="22" t="s">
        <v>24</v>
      </c>
      <c r="D20" s="23" t="s">
        <v>25</v>
      </c>
      <c r="E20" s="22" t="s">
        <v>0</v>
      </c>
      <c r="F20" s="24" t="s">
        <v>1</v>
      </c>
      <c r="G20" s="24" t="s">
        <v>26</v>
      </c>
    </row>
    <row r="21" spans="1:33" s="1" customFormat="1" x14ac:dyDescent="0.3">
      <c r="B21" s="25">
        <v>1</v>
      </c>
      <c r="C21" s="25" t="e">
        <f>[1]!NOMBRECTA(B21,$D$6)</f>
        <v>#VALUE!</v>
      </c>
      <c r="D21" s="26" t="e">
        <f>[1]!SALDOCONTABLECUENTA(B21,$D$9,$D$5,$D$6,$D$8)</f>
        <v>#VALUE!</v>
      </c>
      <c r="E21" s="26" t="e">
        <f>[1]!SaldoContableCtaDBCR(B21,$D$10,$D$11,$D$6,$D$7)</f>
        <v>#VALUE!</v>
      </c>
      <c r="F21" s="26" t="e">
        <f>[1]!SaldoContableCtaDBCR(B21,$D$10,$D$12,$D$6,$D$7)</f>
        <v>#VALUE!</v>
      </c>
      <c r="G21" s="26" t="e">
        <f>[1]!SALDOCONTABLECUENTA($B21,$D$10,$D$5,$D$6,$D$7)</f>
        <v>#VALUE!</v>
      </c>
      <c r="I21" s="27"/>
      <c r="AB21"/>
      <c r="AC21"/>
      <c r="AD21"/>
      <c r="AE21"/>
      <c r="AF21"/>
      <c r="AG21"/>
    </row>
    <row r="22" spans="1:33" s="1" customFormat="1" x14ac:dyDescent="0.3">
      <c r="B22" s="25">
        <v>11</v>
      </c>
      <c r="C22" s="25" t="e">
        <f>[1]!NOMBRECTA(B22,$D$6)</f>
        <v>#VALUE!</v>
      </c>
      <c r="D22" s="26" t="e">
        <f>[1]!SALDOCONTABLECUENTA(B22,$D$9,$D$5,$D$6,$D$8)</f>
        <v>#VALUE!</v>
      </c>
      <c r="E22" s="26" t="e">
        <f>[1]!SaldoContableCtaDBCR(B22,$D$10,$D$11,$D$6,$D$7)</f>
        <v>#VALUE!</v>
      </c>
      <c r="F22" s="26" t="e">
        <f>[1]!SaldoContableCtaDBCR(B22,$D$10,$D$12,$D$6,$D$7)</f>
        <v>#VALUE!</v>
      </c>
      <c r="G22" s="26" t="e">
        <f>[1]!SALDOCONTABLECUENTA($B22,$D$10,$D$5,$D$6,$D$7)</f>
        <v>#VALUE!</v>
      </c>
      <c r="I22" s="27"/>
      <c r="AB22"/>
      <c r="AC22"/>
      <c r="AD22"/>
      <c r="AE22"/>
      <c r="AF22"/>
      <c r="AG22"/>
    </row>
    <row r="23" spans="1:33" s="1" customFormat="1" x14ac:dyDescent="0.3">
      <c r="B23" s="25">
        <v>13</v>
      </c>
      <c r="C23" s="25" t="e">
        <f>[1]!NOMBRECTA(B23,$D$6)</f>
        <v>#VALUE!</v>
      </c>
      <c r="D23" s="26" t="e">
        <f>[1]!SALDOCONTABLECUENTA(B23,$D$9,$D$5,$D$6,$D$8)</f>
        <v>#VALUE!</v>
      </c>
      <c r="E23" s="26" t="e">
        <f>[1]!SaldoContableCtaDBCR(B23,$D$10,$D$11,$D$6,$D$7)</f>
        <v>#VALUE!</v>
      </c>
      <c r="F23" s="26" t="e">
        <f>[1]!SaldoContableCtaDBCR(B23,$D$10,$D$12,$D$6,$D$7)</f>
        <v>#VALUE!</v>
      </c>
      <c r="G23" s="26" t="e">
        <f>[1]!SALDOCONTABLECUENTA($B23,$D$10,$D$5,$D$6,$D$7)</f>
        <v>#VALUE!</v>
      </c>
      <c r="I23" s="27"/>
      <c r="AB23"/>
      <c r="AC23"/>
      <c r="AD23"/>
      <c r="AE23"/>
      <c r="AF23"/>
      <c r="AG23"/>
    </row>
    <row r="24" spans="1:33" s="1" customFormat="1" x14ac:dyDescent="0.3">
      <c r="B24" s="25">
        <v>14</v>
      </c>
      <c r="C24" s="25" t="e">
        <f>[1]!NOMBRECTA(B24,$D$6)</f>
        <v>#VALUE!</v>
      </c>
      <c r="D24" s="26" t="e">
        <f>[1]!SALDOCONTABLECUENTA(B24,$D$9,$D$5,$D$6,$D$8)</f>
        <v>#VALUE!</v>
      </c>
      <c r="E24" s="26" t="e">
        <f>[1]!SaldoContableCtaDBCR(B24,$D$10,$D$11,$D$6,$D$7)</f>
        <v>#VALUE!</v>
      </c>
      <c r="F24" s="26" t="e">
        <f>[1]!SaldoContableCtaDBCR(B24,$D$10,$D$12,$D$6,$D$7)</f>
        <v>#VALUE!</v>
      </c>
      <c r="G24" s="26" t="e">
        <f>[1]!SALDOCONTABLECUENTA($B24,$D$10,$D$5,$D$6,$D$7)</f>
        <v>#VALUE!</v>
      </c>
      <c r="I24" s="27"/>
      <c r="AB24"/>
      <c r="AC24"/>
      <c r="AD24"/>
      <c r="AE24"/>
      <c r="AF24"/>
      <c r="AG24"/>
    </row>
    <row r="25" spans="1:33" s="1" customFormat="1" x14ac:dyDescent="0.3">
      <c r="B25" s="25">
        <v>15</v>
      </c>
      <c r="C25" s="25" t="e">
        <f>[1]!NOMBRECTA(B25,$D$6)</f>
        <v>#VALUE!</v>
      </c>
      <c r="D25" s="26" t="e">
        <f>[1]!SALDOCONTABLECUENTA(B25,$D$9,$D$5,$D$6,$D$8)</f>
        <v>#VALUE!</v>
      </c>
      <c r="E25" s="26" t="e">
        <f>[1]!SaldoContableCtaDBCR(B25,$D$10,$D$11,$D$6,$D$7)</f>
        <v>#VALUE!</v>
      </c>
      <c r="F25" s="26" t="e">
        <f>[1]!SaldoContableCtaDBCR(B25,$D$10,$D$12,$D$6,$D$7)</f>
        <v>#VALUE!</v>
      </c>
      <c r="G25" s="26" t="e">
        <f>[1]!SALDOCONTABLECUENTA($B25,$D$10,$D$5,$D$6,$D$7)</f>
        <v>#VALUE!</v>
      </c>
      <c r="I25" s="27"/>
      <c r="AB25"/>
      <c r="AC25"/>
      <c r="AD25"/>
      <c r="AE25"/>
      <c r="AF25"/>
      <c r="AG25"/>
    </row>
    <row r="26" spans="1:33" s="1" customFormat="1" x14ac:dyDescent="0.3">
      <c r="B26" s="25">
        <v>17</v>
      </c>
      <c r="C26" s="25" t="e">
        <f>[1]!NOMBRECTA(B26,$D$6)</f>
        <v>#VALUE!</v>
      </c>
      <c r="D26" s="26" t="e">
        <f>[1]!SALDOCONTABLECUENTA(B26,$D$9,$D$5,$D$6,$D$8)</f>
        <v>#VALUE!</v>
      </c>
      <c r="E26" s="26" t="e">
        <f>[1]!SaldoContableCtaDBCR(B26,$D$10,$D$11,$D$6,$D$7)</f>
        <v>#VALUE!</v>
      </c>
      <c r="F26" s="26" t="e">
        <f>[1]!SaldoContableCtaDBCR(B26,$D$10,$D$12,$D$6,$D$7)</f>
        <v>#VALUE!</v>
      </c>
      <c r="G26" s="26" t="e">
        <f>[1]!SALDOCONTABLECUENTA($B26,$D$10,$D$5,$D$6,$D$7)</f>
        <v>#VALUE!</v>
      </c>
      <c r="I26" s="27"/>
      <c r="AB26"/>
      <c r="AC26"/>
      <c r="AD26"/>
      <c r="AE26"/>
      <c r="AF26"/>
      <c r="AG26"/>
    </row>
    <row r="27" spans="1:33" s="1" customFormat="1" x14ac:dyDescent="0.3">
      <c r="B27" s="25">
        <v>2</v>
      </c>
      <c r="C27" s="25" t="e">
        <f>[1]!NOMBRECTA(B27,$D$6)</f>
        <v>#VALUE!</v>
      </c>
      <c r="D27" s="26" t="e">
        <f>[1]!SALDOCONTABLECUENTA(B27,$D$9,$D$5,$D$6,$D$8)</f>
        <v>#VALUE!</v>
      </c>
      <c r="E27" s="26" t="e">
        <f>[1]!SaldoContableCtaDBCR(B27,$D$10,$D$11,$D$6,$D$7)</f>
        <v>#VALUE!</v>
      </c>
      <c r="F27" s="26" t="e">
        <f>[1]!SaldoContableCtaDBCR(B27,$D$10,$D$12,$D$6,$D$7)</f>
        <v>#VALUE!</v>
      </c>
      <c r="G27" s="26" t="e">
        <f>[1]!SALDOCONTABLECUENTA($B27,$D$10,$D$5,$D$6,$D$7)</f>
        <v>#VALUE!</v>
      </c>
      <c r="I27" s="28"/>
      <c r="AB27"/>
      <c r="AC27"/>
      <c r="AD27"/>
      <c r="AE27"/>
      <c r="AF27"/>
      <c r="AG27"/>
    </row>
    <row r="28" spans="1:33" s="1" customFormat="1" x14ac:dyDescent="0.3">
      <c r="B28" s="25">
        <v>22</v>
      </c>
      <c r="C28" s="25" t="e">
        <f>[1]!NOMBRECTA(B28,$D$6)</f>
        <v>#VALUE!</v>
      </c>
      <c r="D28" s="26" t="e">
        <f>[1]!SALDOCONTABLECUENTA(B28,$D$9,$D$5,$D$6,$D$8)</f>
        <v>#VALUE!</v>
      </c>
      <c r="E28" s="26" t="e">
        <f>[1]!SaldoContableCtaDBCR(B28,$D$10,$D$11,$D$6,$D$7)</f>
        <v>#VALUE!</v>
      </c>
      <c r="F28" s="26" t="e">
        <f>[1]!SaldoContableCtaDBCR(B28,$D$10,$D$12,$D$6,$D$7)</f>
        <v>#VALUE!</v>
      </c>
      <c r="G28" s="26" t="e">
        <f>[1]!SALDOCONTABLECUENTA($B28,$D$10,$D$5,$D$6,$D$7)</f>
        <v>#VALUE!</v>
      </c>
      <c r="I28" s="28"/>
      <c r="AB28"/>
      <c r="AC28"/>
      <c r="AD28"/>
      <c r="AE28"/>
      <c r="AF28"/>
      <c r="AG28"/>
    </row>
    <row r="29" spans="1:33" s="1" customFormat="1" x14ac:dyDescent="0.3">
      <c r="B29" s="25">
        <v>23</v>
      </c>
      <c r="C29" s="25" t="e">
        <f>[1]!NOMBRECTA(B29,$D$6)</f>
        <v>#VALUE!</v>
      </c>
      <c r="D29" s="26" t="e">
        <f>[1]!SALDOCONTABLECUENTA(B29,$D$9,$D$5,$D$6,$D$8)</f>
        <v>#VALUE!</v>
      </c>
      <c r="E29" s="26" t="e">
        <f>[1]!SaldoContableCtaDBCR(B29,$D$10,$D$11,$D$6,$D$7)</f>
        <v>#VALUE!</v>
      </c>
      <c r="F29" s="26" t="e">
        <f>[1]!SaldoContableCtaDBCR(B29,$D$10,$D$12,$D$6,$D$7)</f>
        <v>#VALUE!</v>
      </c>
      <c r="G29" s="26" t="e">
        <f>[1]!SALDOCONTABLECUENTA($B29,$D$10,$D$5,$D$6,$D$7)</f>
        <v>#VALUE!</v>
      </c>
      <c r="I29" s="28"/>
      <c r="AB29"/>
      <c r="AC29"/>
      <c r="AD29"/>
      <c r="AE29"/>
      <c r="AF29"/>
      <c r="AG29"/>
    </row>
    <row r="30" spans="1:33" s="1" customFormat="1" x14ac:dyDescent="0.3">
      <c r="B30" s="25">
        <v>24</v>
      </c>
      <c r="C30" s="25" t="e">
        <f>[1]!NOMBRECTA(B30,$D$6)</f>
        <v>#VALUE!</v>
      </c>
      <c r="D30" s="26" t="e">
        <f>[1]!SALDOCONTABLECUENTA(B30,$D$9,$D$5,$D$6,$D$8)</f>
        <v>#VALUE!</v>
      </c>
      <c r="E30" s="26" t="e">
        <f>[1]!SaldoContableCtaDBCR(B30,$D$10,$D$11,$D$6,$D$7)</f>
        <v>#VALUE!</v>
      </c>
      <c r="F30" s="26" t="e">
        <f>[1]!SaldoContableCtaDBCR(B30,$D$10,$D$12,$D$6,$D$7)</f>
        <v>#VALUE!</v>
      </c>
      <c r="G30" s="26" t="e">
        <f>[1]!SALDOCONTABLECUENTA($B30,$D$10,$D$5,$D$6,$D$7)</f>
        <v>#VALUE!</v>
      </c>
      <c r="I30" s="28"/>
      <c r="AB30"/>
      <c r="AC30"/>
      <c r="AD30"/>
      <c r="AE30"/>
      <c r="AF30"/>
      <c r="AG30"/>
    </row>
    <row r="31" spans="1:33" s="1" customFormat="1" x14ac:dyDescent="0.3">
      <c r="B31" s="25">
        <v>3</v>
      </c>
      <c r="C31" s="25" t="e">
        <f>[1]!NOMBRECTA(B31,$D$6)</f>
        <v>#VALUE!</v>
      </c>
      <c r="D31" s="26" t="e">
        <f>[1]!SALDOCONTABLECUENTA(B31,$D$9,$D$5,$D$6,$D$8)</f>
        <v>#VALUE!</v>
      </c>
      <c r="E31" s="26" t="e">
        <f>[1]!SaldoContableCtaDBCR(B31,$D$10,$D$11,$D$6,$D$7)</f>
        <v>#VALUE!</v>
      </c>
      <c r="F31" s="26" t="e">
        <f>[1]!SaldoContableCtaDBCR(B31,$D$10,$D$12,$D$6,$D$7)</f>
        <v>#VALUE!</v>
      </c>
      <c r="G31" s="26" t="e">
        <f>[1]!SALDOCONTABLECUENTA($B31,$D$10,$D$5,$D$6,$D$7)</f>
        <v>#VALUE!</v>
      </c>
      <c r="I31" s="27"/>
      <c r="AB31"/>
      <c r="AC31"/>
      <c r="AD31"/>
      <c r="AE31"/>
      <c r="AF31"/>
      <c r="AG31"/>
    </row>
    <row r="32" spans="1:33" s="1" customFormat="1" x14ac:dyDescent="0.3">
      <c r="B32" s="25">
        <v>31</v>
      </c>
      <c r="C32" s="25" t="e">
        <f>[1]!NOMBRECTA(B32,$D$6)</f>
        <v>#VALUE!</v>
      </c>
      <c r="D32" s="26" t="e">
        <f>[1]!SALDOCONTABLECUENTA(B32,$D$9,$D$5,$D$6,$D$8)</f>
        <v>#VALUE!</v>
      </c>
      <c r="E32" s="26" t="e">
        <f>[1]!SaldoContableCtaDBCR(B32,$D$10,$D$11,$D$6,$D$7)</f>
        <v>#VALUE!</v>
      </c>
      <c r="F32" s="26" t="e">
        <f>[1]!SaldoContableCtaDBCR(B32,$D$10,$D$12,$D$6,$D$7)</f>
        <v>#VALUE!</v>
      </c>
      <c r="G32" s="26" t="e">
        <f>[1]!SALDOCONTABLECUENTA($B32,$D$10,$D$5,$D$6,$D$7)</f>
        <v>#VALUE!</v>
      </c>
      <c r="I32" s="27"/>
      <c r="AB32"/>
      <c r="AC32"/>
      <c r="AD32"/>
      <c r="AE32"/>
      <c r="AF32"/>
      <c r="AG32"/>
    </row>
    <row r="33" spans="1:33" s="1" customFormat="1" x14ac:dyDescent="0.3">
      <c r="B33" s="25">
        <v>4</v>
      </c>
      <c r="C33" s="25" t="e">
        <f>[1]!NOMBRECTA(B33,$D$6)</f>
        <v>#VALUE!</v>
      </c>
      <c r="D33" s="26" t="e">
        <f>[1]!SALDOCONTABLECUENTA(B33,$D$9,$D$5,$D$6,$D$8)</f>
        <v>#VALUE!</v>
      </c>
      <c r="E33" s="26" t="e">
        <f>[1]!SaldoContableCtaDBCR(B33,$D$10,$D$11,$D$6,$D$7)</f>
        <v>#VALUE!</v>
      </c>
      <c r="F33" s="26" t="e">
        <f>[1]!SaldoContableCtaDBCR(B33,$D$10,$D$12,$D$6,$D$7)</f>
        <v>#VALUE!</v>
      </c>
      <c r="G33" s="26" t="e">
        <f>[1]!SALDOCONTABLECUENTA($B33,$D$10,$D$5,$D$6,$D$7)</f>
        <v>#VALUE!</v>
      </c>
      <c r="I33" s="27"/>
      <c r="AB33"/>
      <c r="AC33"/>
      <c r="AD33"/>
      <c r="AE33"/>
      <c r="AF33"/>
      <c r="AG33"/>
    </row>
    <row r="34" spans="1:33" s="1" customFormat="1" x14ac:dyDescent="0.3">
      <c r="B34" s="25">
        <v>41</v>
      </c>
      <c r="C34" s="25" t="e">
        <f>[1]!NOMBRECTA(B34,$D$6)</f>
        <v>#VALUE!</v>
      </c>
      <c r="D34" s="26" t="e">
        <f>[1]!SALDOCONTABLECUENTA(B34,$D$9,$D$5,$D$6,$D$8)</f>
        <v>#VALUE!</v>
      </c>
      <c r="E34" s="26" t="e">
        <f>[1]!SaldoContableCtaDBCR(B34,$D$10,$D$11,$D$6,$D$7)</f>
        <v>#VALUE!</v>
      </c>
      <c r="F34" s="26" t="e">
        <f>[1]!SaldoContableCtaDBCR(B34,$D$10,$D$12,$D$6,$D$7)</f>
        <v>#VALUE!</v>
      </c>
      <c r="G34" s="26" t="e">
        <f>[1]!SALDOCONTABLECUENTA($B34,$D$10,$D$5,$D$6,$D$7)</f>
        <v>#VALUE!</v>
      </c>
      <c r="I34" s="27"/>
      <c r="AB34"/>
      <c r="AC34"/>
      <c r="AD34"/>
      <c r="AE34"/>
      <c r="AF34"/>
      <c r="AG34"/>
    </row>
    <row r="35" spans="1:33" s="1" customFormat="1" x14ac:dyDescent="0.3">
      <c r="B35" s="25">
        <v>5</v>
      </c>
      <c r="C35" s="25" t="e">
        <f>[1]!NOMBRECTA(B35,$D$6)</f>
        <v>#VALUE!</v>
      </c>
      <c r="D35" s="26" t="e">
        <f>[1]!SALDOCONTABLECUENTA(B35,$D$9,$D$5,$D$6,$D$8)</f>
        <v>#VALUE!</v>
      </c>
      <c r="E35" s="26" t="e">
        <f>[1]!SaldoContableCtaDBCR(B35,$D$10,$D$11,$D$6,$D$7)</f>
        <v>#VALUE!</v>
      </c>
      <c r="F35" s="26" t="e">
        <f>[1]!SaldoContableCtaDBCR(B35,$D$10,$D$12,$D$6,$D$7)</f>
        <v>#VALUE!</v>
      </c>
      <c r="G35" s="26" t="e">
        <f>[1]!SALDOCONTABLECUENTA($B35,$D$10,$D$5,$D$6,$D$7)</f>
        <v>#VALUE!</v>
      </c>
      <c r="I35" s="27"/>
      <c r="AB35"/>
      <c r="AC35"/>
      <c r="AD35"/>
      <c r="AE35"/>
      <c r="AF35"/>
      <c r="AG35"/>
    </row>
    <row r="36" spans="1:33" s="1" customFormat="1" x14ac:dyDescent="0.3">
      <c r="B36" s="25">
        <v>51</v>
      </c>
      <c r="C36" s="25" t="e">
        <f>[1]!NOMBRECTA(B36,$D$6)</f>
        <v>#VALUE!</v>
      </c>
      <c r="D36" s="26" t="e">
        <f>[1]!SALDOCONTABLECUENTA(B36,$D$9,$D$5,$D$6,$D$8)</f>
        <v>#VALUE!</v>
      </c>
      <c r="E36" s="26" t="e">
        <f>[1]!SaldoContableCtaDBCR(B36,$D$10,$D$11,$D$6,$D$7)</f>
        <v>#VALUE!</v>
      </c>
      <c r="F36" s="26" t="e">
        <f>[1]!SaldoContableCtaDBCR(B36,$D$10,$D$12,$D$6,$D$7)</f>
        <v>#VALUE!</v>
      </c>
      <c r="G36" s="26" t="e">
        <f>[1]!SALDOCONTABLECUENTA($B36,$D$10,$D$5,$D$6,$D$7)</f>
        <v>#VALUE!</v>
      </c>
      <c r="I36" s="27"/>
      <c r="AB36"/>
      <c r="AC36"/>
      <c r="AD36"/>
      <c r="AE36"/>
      <c r="AF36"/>
      <c r="AG36"/>
    </row>
    <row r="37" spans="1:33" s="1" customFormat="1" x14ac:dyDescent="0.3">
      <c r="B37" s="25">
        <v>52</v>
      </c>
      <c r="C37" s="25" t="e">
        <f>[1]!NOMBRECTA(B37,$D$6)</f>
        <v>#VALUE!</v>
      </c>
      <c r="D37" s="26" t="e">
        <f>[1]!SALDOCONTABLECUENTA(B37,$D$9,$D$5,$D$6,$D$8)</f>
        <v>#VALUE!</v>
      </c>
      <c r="E37" s="26" t="e">
        <f>[1]!SaldoContableCtaDBCR(B37,$D$10,$D$11,$D$6,$D$7)</f>
        <v>#VALUE!</v>
      </c>
      <c r="F37" s="26" t="e">
        <f>[1]!SaldoContableCtaDBCR(B37,$D$10,$D$12,$D$6,$D$7)</f>
        <v>#VALUE!</v>
      </c>
      <c r="G37" s="26" t="e">
        <f>[1]!SALDOCONTABLECUENTA($B37,$D$10,$D$5,$D$6,$D$7)</f>
        <v>#VALUE!</v>
      </c>
      <c r="I37" s="27"/>
      <c r="AB37"/>
      <c r="AC37"/>
      <c r="AD37"/>
      <c r="AE37"/>
      <c r="AF37"/>
      <c r="AG37"/>
    </row>
    <row r="38" spans="1:33" s="1" customFormat="1" x14ac:dyDescent="0.3">
      <c r="B38" s="25">
        <v>6</v>
      </c>
      <c r="C38" s="25" t="e">
        <f>[1]!NOMBRECTA(B38,$D$6)</f>
        <v>#VALUE!</v>
      </c>
      <c r="D38" s="26" t="e">
        <f>[1]!SALDOCONTABLECUENTA(B38,$D$9,$D$5,$D$6,$D$8)</f>
        <v>#VALUE!</v>
      </c>
      <c r="E38" s="26" t="e">
        <f>[1]!SaldoContableCtaDBCR(B38,$D$10,$D$11,$D$6,$D$7)</f>
        <v>#VALUE!</v>
      </c>
      <c r="F38" s="26" t="e">
        <f>[1]!SaldoContableCtaDBCR(B38,$D$10,$D$12,$D$6,$D$7)</f>
        <v>#VALUE!</v>
      </c>
      <c r="G38" s="26" t="e">
        <f>[1]!SALDOCONTABLECUENTA($B38,$D$10,$D$5,$D$6,$D$7)</f>
        <v>#VALUE!</v>
      </c>
      <c r="I38" s="27"/>
      <c r="AB38"/>
      <c r="AC38"/>
      <c r="AD38"/>
      <c r="AE38"/>
      <c r="AF38"/>
      <c r="AG38"/>
    </row>
    <row r="39" spans="1:33" s="1" customFormat="1" x14ac:dyDescent="0.3">
      <c r="B39" s="25">
        <v>61</v>
      </c>
      <c r="C39" s="25" t="e">
        <f>[1]!NOMBRECTA(B39,$D$6)</f>
        <v>#VALUE!</v>
      </c>
      <c r="D39" s="26" t="e">
        <f>[1]!SALDOCONTABLECUENTA(B39,$D$9,$D$5,$D$6,$D$8)</f>
        <v>#VALUE!</v>
      </c>
      <c r="E39" s="26" t="e">
        <f>[1]!SaldoContableCtaDBCR(B39,$D$10,$D$11,$D$6,$D$7)</f>
        <v>#VALUE!</v>
      </c>
      <c r="F39" s="26" t="e">
        <f>[1]!SaldoContableCtaDBCR(B39,$D$10,$D$12,$D$6,$D$7)</f>
        <v>#VALUE!</v>
      </c>
      <c r="G39" s="26" t="e">
        <f>[1]!SALDOCONTABLECUENTA($B39,$D$10,$D$5,$D$6,$D$7)</f>
        <v>#VALUE!</v>
      </c>
      <c r="I39" s="27"/>
      <c r="AB39"/>
      <c r="AC39"/>
      <c r="AD39"/>
      <c r="AE39"/>
      <c r="AF39"/>
      <c r="AG39"/>
    </row>
    <row r="40" spans="1:33" s="1" customFormat="1" x14ac:dyDescent="0.3">
      <c r="B40" s="25">
        <v>62</v>
      </c>
      <c r="C40" s="25" t="e">
        <f>[1]!NOMBRECTA(B40,$D$6)</f>
        <v>#VALUE!</v>
      </c>
      <c r="D40" s="26" t="e">
        <f>[1]!SALDOCONTABLECUENTA(B40,$D$9,$D$5,$D$6,$D$8)</f>
        <v>#VALUE!</v>
      </c>
      <c r="E40" s="26" t="e">
        <f>[1]!SaldoContableCtaDBCR(B40,$D$10,$D$11,$D$6,$D$7)</f>
        <v>#VALUE!</v>
      </c>
      <c r="F40" s="26" t="e">
        <f>[1]!SaldoContableCtaDBCR(B40,$D$10,$D$12,$D$6,$D$7)</f>
        <v>#VALUE!</v>
      </c>
      <c r="G40" s="26" t="e">
        <f>[1]!SALDOCONTABLECUENTA($B40,$D$10,$D$5,$D$6,$D$7)</f>
        <v>#VALUE!</v>
      </c>
      <c r="I40" s="27"/>
      <c r="AB40"/>
      <c r="AC40"/>
      <c r="AD40"/>
      <c r="AE40"/>
      <c r="AF40"/>
      <c r="AG40"/>
    </row>
    <row r="41" spans="1:33" s="1" customFormat="1" x14ac:dyDescent="0.3">
      <c r="B41" s="25"/>
      <c r="C41" s="25"/>
      <c r="D41" s="29"/>
      <c r="E41" s="29"/>
      <c r="F41" s="29"/>
      <c r="G41" s="29"/>
      <c r="AB41"/>
      <c r="AC41"/>
      <c r="AD41"/>
      <c r="AE41"/>
      <c r="AF41"/>
      <c r="AG41"/>
    </row>
    <row r="42" spans="1:33" s="1" customFormat="1" ht="16.8" x14ac:dyDescent="0.3">
      <c r="A42" s="21"/>
      <c r="B42" s="30"/>
      <c r="C42" s="30" t="s">
        <v>27</v>
      </c>
      <c r="D42" s="31" t="e">
        <f>[1]!SaldoContableCuentaCadena("1,2,3,45,6,7,8,9",$D$9,$D$5,$D$6,$D$8)</f>
        <v>#VALUE!</v>
      </c>
      <c r="E42" s="31" t="e">
        <f>SUM(E21:E41)</f>
        <v>#VALUE!</v>
      </c>
      <c r="F42" s="31" t="e">
        <f>SUM(F21:F41)</f>
        <v>#VALUE!</v>
      </c>
      <c r="G42" s="31" t="e">
        <f>[1]!SaldoContableCuentaCadena("1,2,3,45,6,7,8,9",$D$10,$D$5,$D$6,$D$7)</f>
        <v>#VALUE!</v>
      </c>
      <c r="AB42"/>
      <c r="AC42"/>
      <c r="AD42"/>
      <c r="AE42"/>
      <c r="AF42"/>
      <c r="AG42"/>
    </row>
    <row r="43" spans="1:33" s="1" customFormat="1" x14ac:dyDescent="0.3">
      <c r="AB43"/>
      <c r="AC43"/>
      <c r="AD43"/>
      <c r="AE43"/>
      <c r="AF43"/>
      <c r="AG43"/>
    </row>
    <row r="44" spans="1:33" s="1" customFormat="1" x14ac:dyDescent="0.3">
      <c r="AB44"/>
      <c r="AC44"/>
      <c r="AD44"/>
      <c r="AE44"/>
      <c r="AF44"/>
      <c r="AG44"/>
    </row>
    <row r="45" spans="1:33" s="1" customFormat="1" x14ac:dyDescent="0.3">
      <c r="E45" s="27"/>
      <c r="AB45"/>
      <c r="AC45"/>
      <c r="AD45"/>
      <c r="AE45"/>
      <c r="AF45"/>
      <c r="AG45"/>
    </row>
    <row r="46" spans="1:33" s="1" customFormat="1" x14ac:dyDescent="0.3">
      <c r="AB46"/>
      <c r="AC46"/>
      <c r="AD46"/>
      <c r="AE46"/>
      <c r="AF46"/>
      <c r="AG46"/>
    </row>
    <row r="47" spans="1:33" s="1" customFormat="1" x14ac:dyDescent="0.3">
      <c r="AB47"/>
      <c r="AC47"/>
      <c r="AD47"/>
      <c r="AE47"/>
      <c r="AF47"/>
      <c r="AG47"/>
    </row>
    <row r="48" spans="1:33" s="1" customFormat="1" x14ac:dyDescent="0.3">
      <c r="AB48"/>
      <c r="AC48"/>
      <c r="AD48"/>
      <c r="AE48"/>
      <c r="AF48"/>
      <c r="AG48"/>
    </row>
    <row r="49" spans="28:33" s="1" customFormat="1" x14ac:dyDescent="0.3">
      <c r="AB49"/>
      <c r="AC49"/>
      <c r="AD49"/>
      <c r="AE49"/>
      <c r="AF49"/>
      <c r="AG49"/>
    </row>
    <row r="50" spans="28:33" s="1" customFormat="1" x14ac:dyDescent="0.3">
      <c r="AB50"/>
      <c r="AC50"/>
      <c r="AD50"/>
      <c r="AE50"/>
      <c r="AF50"/>
      <c r="AG50"/>
    </row>
    <row r="51" spans="28:33" s="1" customFormat="1" x14ac:dyDescent="0.3">
      <c r="AB51"/>
      <c r="AC51"/>
      <c r="AD51"/>
      <c r="AE51"/>
      <c r="AF51"/>
      <c r="AG51"/>
    </row>
    <row r="52" spans="28:33" s="1" customFormat="1" x14ac:dyDescent="0.3">
      <c r="AB52"/>
      <c r="AC52"/>
      <c r="AD52"/>
      <c r="AE52"/>
      <c r="AF52"/>
      <c r="AG52"/>
    </row>
    <row r="53" spans="28:33" s="1" customFormat="1" x14ac:dyDescent="0.3">
      <c r="AB53"/>
      <c r="AC53"/>
      <c r="AD53"/>
      <c r="AE53"/>
      <c r="AF53"/>
      <c r="AG53"/>
    </row>
    <row r="54" spans="28:33" s="1" customFormat="1" x14ac:dyDescent="0.3">
      <c r="AB54"/>
      <c r="AC54"/>
      <c r="AD54"/>
      <c r="AE54"/>
      <c r="AF54"/>
      <c r="AG54"/>
    </row>
    <row r="55" spans="28:33" s="1" customFormat="1" x14ac:dyDescent="0.3">
      <c r="AB55"/>
      <c r="AC55"/>
      <c r="AD55"/>
      <c r="AE55"/>
      <c r="AF55"/>
      <c r="AG55"/>
    </row>
    <row r="56" spans="28:33" s="1" customFormat="1" x14ac:dyDescent="0.3">
      <c r="AB56"/>
      <c r="AC56"/>
      <c r="AD56"/>
      <c r="AE56"/>
      <c r="AF56"/>
      <c r="AG56"/>
    </row>
    <row r="57" spans="28:33" s="1" customFormat="1" x14ac:dyDescent="0.3">
      <c r="AB57"/>
      <c r="AC57"/>
      <c r="AD57"/>
      <c r="AE57"/>
      <c r="AF57"/>
      <c r="AG57"/>
    </row>
    <row r="58" spans="28:33" s="1" customFormat="1" x14ac:dyDescent="0.3">
      <c r="AB58"/>
      <c r="AC58"/>
      <c r="AD58"/>
      <c r="AE58"/>
      <c r="AF58"/>
      <c r="AG58"/>
    </row>
    <row r="59" spans="28:33" s="1" customFormat="1" x14ac:dyDescent="0.3">
      <c r="AB59"/>
      <c r="AC59"/>
      <c r="AD59"/>
      <c r="AE59"/>
      <c r="AF59"/>
      <c r="AG59"/>
    </row>
    <row r="60" spans="28:33" s="1" customFormat="1" x14ac:dyDescent="0.3">
      <c r="AB60"/>
      <c r="AC60"/>
      <c r="AD60"/>
      <c r="AE60"/>
      <c r="AF60"/>
      <c r="AG60"/>
    </row>
    <row r="61" spans="28:33" s="1" customFormat="1" x14ac:dyDescent="0.3">
      <c r="AB61"/>
      <c r="AC61"/>
      <c r="AD61"/>
      <c r="AE61"/>
      <c r="AF61"/>
      <c r="AG61"/>
    </row>
    <row r="62" spans="28:33" s="1" customFormat="1" x14ac:dyDescent="0.3">
      <c r="AB62"/>
      <c r="AC62"/>
      <c r="AD62"/>
      <c r="AE62"/>
      <c r="AF62"/>
      <c r="AG62"/>
    </row>
    <row r="63" spans="28:33" s="1" customFormat="1" x14ac:dyDescent="0.3">
      <c r="AB63"/>
      <c r="AC63"/>
      <c r="AD63"/>
      <c r="AE63"/>
      <c r="AF63"/>
      <c r="AG63"/>
    </row>
    <row r="64" spans="28:33" s="1" customFormat="1" x14ac:dyDescent="0.3">
      <c r="AB64"/>
      <c r="AC64"/>
      <c r="AD64"/>
      <c r="AE64"/>
      <c r="AF64"/>
      <c r="AG64"/>
    </row>
    <row r="65" spans="28:33" s="1" customFormat="1" x14ac:dyDescent="0.3">
      <c r="AB65"/>
      <c r="AC65"/>
      <c r="AD65"/>
      <c r="AE65"/>
      <c r="AF65"/>
      <c r="AG65"/>
    </row>
    <row r="66" spans="28:33" s="1" customFormat="1" x14ac:dyDescent="0.3">
      <c r="AB66"/>
      <c r="AC66"/>
      <c r="AD66"/>
      <c r="AE66"/>
      <c r="AF66"/>
      <c r="AG66"/>
    </row>
    <row r="67" spans="28:33" s="1" customFormat="1" x14ac:dyDescent="0.3">
      <c r="AB67"/>
      <c r="AC67"/>
      <c r="AD67"/>
      <c r="AE67"/>
      <c r="AF67"/>
      <c r="AG67"/>
    </row>
    <row r="68" spans="28:33" s="1" customFormat="1" x14ac:dyDescent="0.3">
      <c r="AB68"/>
      <c r="AC68"/>
      <c r="AD68"/>
      <c r="AE68"/>
      <c r="AF68"/>
      <c r="AG68"/>
    </row>
    <row r="69" spans="28:33" s="1" customFormat="1" x14ac:dyDescent="0.3">
      <c r="AB69"/>
      <c r="AC69"/>
      <c r="AD69"/>
      <c r="AE69"/>
      <c r="AF69"/>
      <c r="AG69"/>
    </row>
    <row r="70" spans="28:33" s="1" customFormat="1" x14ac:dyDescent="0.3">
      <c r="AB70"/>
      <c r="AC70"/>
      <c r="AD70"/>
      <c r="AE70"/>
      <c r="AF70"/>
      <c r="AG70"/>
    </row>
    <row r="71" spans="28:33" s="1" customFormat="1" x14ac:dyDescent="0.3">
      <c r="AB71"/>
      <c r="AC71"/>
      <c r="AD71"/>
      <c r="AE71"/>
      <c r="AF71"/>
      <c r="AG71"/>
    </row>
    <row r="72" spans="28:33" s="1" customFormat="1" x14ac:dyDescent="0.3">
      <c r="AB72"/>
      <c r="AC72"/>
      <c r="AD72"/>
      <c r="AE72"/>
      <c r="AF72"/>
      <c r="AG72"/>
    </row>
    <row r="73" spans="28:33" s="1" customFormat="1" x14ac:dyDescent="0.3">
      <c r="AB73"/>
      <c r="AC73"/>
      <c r="AD73"/>
      <c r="AE73"/>
      <c r="AF73"/>
      <c r="AG73"/>
    </row>
    <row r="74" spans="28:33" s="1" customFormat="1" x14ac:dyDescent="0.3">
      <c r="AB74"/>
      <c r="AC74"/>
      <c r="AD74"/>
      <c r="AE74"/>
      <c r="AF74"/>
      <c r="AG74"/>
    </row>
    <row r="75" spans="28:33" s="1" customFormat="1" x14ac:dyDescent="0.3">
      <c r="AB75"/>
      <c r="AC75"/>
      <c r="AD75"/>
      <c r="AE75"/>
      <c r="AF75"/>
      <c r="AG75"/>
    </row>
    <row r="76" spans="28:33" s="1" customFormat="1" x14ac:dyDescent="0.3">
      <c r="AB76"/>
      <c r="AC76"/>
      <c r="AD76"/>
      <c r="AE76"/>
      <c r="AF76"/>
      <c r="AG76"/>
    </row>
    <row r="77" spans="28:33" s="1" customFormat="1" x14ac:dyDescent="0.3">
      <c r="AB77"/>
      <c r="AC77"/>
      <c r="AD77"/>
      <c r="AE77"/>
      <c r="AF77"/>
      <c r="AG77"/>
    </row>
    <row r="78" spans="28:33" s="1" customFormat="1" x14ac:dyDescent="0.3">
      <c r="AB78"/>
      <c r="AC78"/>
      <c r="AD78"/>
      <c r="AE78"/>
      <c r="AF78"/>
      <c r="AG78"/>
    </row>
    <row r="79" spans="28:33" s="1" customFormat="1" x14ac:dyDescent="0.3">
      <c r="AB79"/>
      <c r="AC79"/>
      <c r="AD79"/>
      <c r="AE79"/>
      <c r="AF79"/>
      <c r="AG79"/>
    </row>
    <row r="80" spans="28:33" s="1" customFormat="1" x14ac:dyDescent="0.3">
      <c r="AB80"/>
      <c r="AC80"/>
      <c r="AD80"/>
      <c r="AE80"/>
      <c r="AF80"/>
      <c r="AG80"/>
    </row>
    <row r="81" spans="28:33" s="1" customFormat="1" x14ac:dyDescent="0.3">
      <c r="AB81"/>
      <c r="AC81"/>
      <c r="AD81"/>
      <c r="AE81"/>
      <c r="AF81"/>
      <c r="AG81"/>
    </row>
    <row r="82" spans="28:33" s="1" customFormat="1" x14ac:dyDescent="0.3">
      <c r="AB82"/>
      <c r="AC82"/>
      <c r="AD82"/>
      <c r="AE82"/>
      <c r="AF82"/>
      <c r="AG82"/>
    </row>
    <row r="83" spans="28:33" s="1" customFormat="1" x14ac:dyDescent="0.3">
      <c r="AB83"/>
      <c r="AC83"/>
      <c r="AD83"/>
      <c r="AE83"/>
      <c r="AF83"/>
      <c r="AG83"/>
    </row>
    <row r="84" spans="28:33" s="1" customFormat="1" x14ac:dyDescent="0.3">
      <c r="AB84"/>
      <c r="AC84"/>
      <c r="AD84"/>
      <c r="AE84"/>
      <c r="AF84"/>
      <c r="AG84"/>
    </row>
    <row r="85" spans="28:33" s="1" customFormat="1" x14ac:dyDescent="0.3">
      <c r="AB85"/>
      <c r="AC85"/>
      <c r="AD85"/>
      <c r="AE85"/>
      <c r="AF85"/>
      <c r="AG85"/>
    </row>
    <row r="86" spans="28:33" s="1" customFormat="1" x14ac:dyDescent="0.3">
      <c r="AB86"/>
      <c r="AC86"/>
      <c r="AD86"/>
      <c r="AE86"/>
      <c r="AF86"/>
      <c r="AG86"/>
    </row>
    <row r="87" spans="28:33" s="1" customFormat="1" x14ac:dyDescent="0.3">
      <c r="AB87"/>
      <c r="AC87"/>
      <c r="AD87"/>
      <c r="AE87"/>
      <c r="AF87"/>
      <c r="AG87"/>
    </row>
    <row r="88" spans="28:33" s="1" customFormat="1" x14ac:dyDescent="0.3">
      <c r="AB88"/>
      <c r="AC88"/>
      <c r="AD88"/>
      <c r="AE88"/>
      <c r="AF88"/>
      <c r="AG88"/>
    </row>
    <row r="89" spans="28:33" s="1" customFormat="1" x14ac:dyDescent="0.3">
      <c r="AB89"/>
      <c r="AC89"/>
      <c r="AD89"/>
      <c r="AE89"/>
      <c r="AF89"/>
      <c r="AG89"/>
    </row>
    <row r="90" spans="28:33" s="1" customFormat="1" x14ac:dyDescent="0.3">
      <c r="AB90"/>
      <c r="AC90"/>
      <c r="AD90"/>
      <c r="AE90"/>
      <c r="AF90"/>
      <c r="AG90"/>
    </row>
    <row r="91" spans="28:33" s="1" customFormat="1" x14ac:dyDescent="0.3">
      <c r="AB91"/>
      <c r="AC91"/>
      <c r="AD91"/>
      <c r="AE91"/>
      <c r="AF91"/>
      <c r="AG91"/>
    </row>
    <row r="92" spans="28:33" s="1" customFormat="1" x14ac:dyDescent="0.3">
      <c r="AB92"/>
      <c r="AC92"/>
      <c r="AD92"/>
      <c r="AE92"/>
      <c r="AF92"/>
      <c r="AG92"/>
    </row>
    <row r="93" spans="28:33" s="1" customFormat="1" x14ac:dyDescent="0.3">
      <c r="AB93"/>
      <c r="AC93"/>
      <c r="AD93"/>
      <c r="AE93"/>
      <c r="AF93"/>
      <c r="AG93"/>
    </row>
    <row r="94" spans="28:33" s="1" customFormat="1" x14ac:dyDescent="0.3">
      <c r="AB94"/>
      <c r="AC94"/>
      <c r="AD94"/>
      <c r="AE94"/>
      <c r="AF94"/>
      <c r="AG94"/>
    </row>
    <row r="95" spans="28:33" s="1" customFormat="1" x14ac:dyDescent="0.3">
      <c r="AB95"/>
      <c r="AC95"/>
      <c r="AD95"/>
      <c r="AE95"/>
      <c r="AF95"/>
      <c r="AG95"/>
    </row>
    <row r="96" spans="28:33" s="1" customFormat="1" x14ac:dyDescent="0.3">
      <c r="AB96"/>
      <c r="AC96"/>
      <c r="AD96"/>
      <c r="AE96"/>
      <c r="AF96"/>
      <c r="AG96"/>
    </row>
    <row r="97" spans="28:33" s="1" customFormat="1" x14ac:dyDescent="0.3">
      <c r="AB97"/>
      <c r="AC97"/>
      <c r="AD97"/>
      <c r="AE97"/>
      <c r="AF97"/>
      <c r="AG97"/>
    </row>
    <row r="98" spans="28:33" s="1" customFormat="1" x14ac:dyDescent="0.3">
      <c r="AB98"/>
      <c r="AC98"/>
      <c r="AD98"/>
      <c r="AE98"/>
      <c r="AF98"/>
      <c r="AG98"/>
    </row>
    <row r="99" spans="28:33" s="1" customFormat="1" x14ac:dyDescent="0.3">
      <c r="AB99"/>
      <c r="AC99"/>
      <c r="AD99"/>
      <c r="AE99"/>
      <c r="AF99"/>
      <c r="AG99"/>
    </row>
    <row r="100" spans="28:33" s="1" customFormat="1" x14ac:dyDescent="0.3">
      <c r="AB100"/>
      <c r="AC100"/>
      <c r="AD100"/>
      <c r="AE100"/>
      <c r="AF100"/>
      <c r="AG100"/>
    </row>
    <row r="101" spans="28:33" s="1" customFormat="1" x14ac:dyDescent="0.3">
      <c r="AB101"/>
      <c r="AC101"/>
      <c r="AD101"/>
      <c r="AE101"/>
      <c r="AF101"/>
      <c r="AG101"/>
    </row>
    <row r="102" spans="28:33" s="1" customFormat="1" x14ac:dyDescent="0.3">
      <c r="AB102"/>
      <c r="AC102"/>
      <c r="AD102"/>
      <c r="AE102"/>
      <c r="AF102"/>
      <c r="AG102"/>
    </row>
    <row r="103" spans="28:33" s="1" customFormat="1" x14ac:dyDescent="0.3">
      <c r="AB103"/>
      <c r="AC103"/>
      <c r="AD103"/>
      <c r="AE103"/>
      <c r="AF103"/>
      <c r="AG103"/>
    </row>
    <row r="104" spans="28:33" s="1" customFormat="1" x14ac:dyDescent="0.3">
      <c r="AB104"/>
      <c r="AC104"/>
      <c r="AD104"/>
      <c r="AE104"/>
      <c r="AF104"/>
      <c r="AG104"/>
    </row>
    <row r="105" spans="28:33" s="1" customFormat="1" x14ac:dyDescent="0.3">
      <c r="AB105"/>
      <c r="AC105"/>
      <c r="AD105"/>
      <c r="AE105"/>
      <c r="AF105"/>
      <c r="AG105"/>
    </row>
    <row r="106" spans="28:33" s="1" customFormat="1" x14ac:dyDescent="0.3">
      <c r="AB106"/>
      <c r="AC106"/>
      <c r="AD106"/>
      <c r="AE106"/>
      <c r="AF106"/>
      <c r="AG106"/>
    </row>
    <row r="107" spans="28:33" s="1" customFormat="1" x14ac:dyDescent="0.3">
      <c r="AB107"/>
      <c r="AC107"/>
      <c r="AD107"/>
      <c r="AE107"/>
      <c r="AF107"/>
      <c r="AG107"/>
    </row>
    <row r="108" spans="28:33" s="1" customFormat="1" x14ac:dyDescent="0.3">
      <c r="AB108"/>
      <c r="AC108"/>
      <c r="AD108"/>
      <c r="AE108"/>
      <c r="AF108"/>
      <c r="AG108"/>
    </row>
    <row r="109" spans="28:33" s="1" customFormat="1" x14ac:dyDescent="0.3">
      <c r="AB109"/>
      <c r="AC109"/>
      <c r="AD109"/>
      <c r="AE109"/>
      <c r="AF109"/>
      <c r="AG109"/>
    </row>
    <row r="110" spans="28:33" s="1" customFormat="1" x14ac:dyDescent="0.3">
      <c r="AB110"/>
      <c r="AC110"/>
      <c r="AD110"/>
      <c r="AE110"/>
      <c r="AF110"/>
      <c r="AG110"/>
    </row>
    <row r="111" spans="28:33" s="1" customFormat="1" x14ac:dyDescent="0.3">
      <c r="AB111"/>
      <c r="AC111"/>
      <c r="AD111"/>
      <c r="AE111"/>
      <c r="AF111"/>
      <c r="AG111"/>
    </row>
    <row r="112" spans="28:33" s="1" customFormat="1" x14ac:dyDescent="0.3">
      <c r="AB112"/>
      <c r="AC112"/>
      <c r="AD112"/>
      <c r="AE112"/>
      <c r="AF112"/>
      <c r="AG112"/>
    </row>
    <row r="113" spans="28:33" s="1" customFormat="1" x14ac:dyDescent="0.3">
      <c r="AB113"/>
      <c r="AC113"/>
      <c r="AD113"/>
      <c r="AE113"/>
      <c r="AF113"/>
      <c r="AG113"/>
    </row>
    <row r="114" spans="28:33" s="1" customFormat="1" x14ac:dyDescent="0.3">
      <c r="AB114"/>
      <c r="AC114"/>
      <c r="AD114"/>
      <c r="AE114"/>
      <c r="AF114"/>
      <c r="AG114"/>
    </row>
    <row r="115" spans="28:33" s="1" customFormat="1" x14ac:dyDescent="0.3">
      <c r="AB115"/>
      <c r="AC115"/>
      <c r="AD115"/>
      <c r="AE115"/>
      <c r="AF115"/>
      <c r="AG115"/>
    </row>
    <row r="116" spans="28:33" s="1" customFormat="1" x14ac:dyDescent="0.3">
      <c r="AB116"/>
      <c r="AC116"/>
      <c r="AD116"/>
      <c r="AE116"/>
      <c r="AF116"/>
      <c r="AG116"/>
    </row>
    <row r="117" spans="28:33" s="1" customFormat="1" x14ac:dyDescent="0.3">
      <c r="AB117"/>
      <c r="AC117"/>
      <c r="AD117"/>
      <c r="AE117"/>
      <c r="AF117"/>
      <c r="AG117"/>
    </row>
    <row r="118" spans="28:33" s="1" customFormat="1" x14ac:dyDescent="0.3">
      <c r="AB118"/>
      <c r="AC118"/>
      <c r="AD118"/>
      <c r="AE118"/>
      <c r="AF118"/>
      <c r="AG118"/>
    </row>
    <row r="119" spans="28:33" s="1" customFormat="1" x14ac:dyDescent="0.3">
      <c r="AB119"/>
      <c r="AC119"/>
      <c r="AD119"/>
      <c r="AE119"/>
      <c r="AF119"/>
      <c r="AG119"/>
    </row>
    <row r="120" spans="28:33" s="1" customFormat="1" x14ac:dyDescent="0.3">
      <c r="AB120"/>
      <c r="AC120"/>
      <c r="AD120"/>
      <c r="AE120"/>
      <c r="AF120"/>
      <c r="AG120"/>
    </row>
    <row r="121" spans="28:33" s="1" customFormat="1" x14ac:dyDescent="0.3">
      <c r="AB121"/>
      <c r="AC121"/>
      <c r="AD121"/>
      <c r="AE121"/>
      <c r="AF121"/>
      <c r="AG121"/>
    </row>
    <row r="122" spans="28:33" s="1" customFormat="1" x14ac:dyDescent="0.3">
      <c r="AB122"/>
      <c r="AC122"/>
      <c r="AD122"/>
      <c r="AE122"/>
      <c r="AF122"/>
      <c r="AG122"/>
    </row>
    <row r="123" spans="28:33" s="1" customFormat="1" x14ac:dyDescent="0.3">
      <c r="AB123"/>
      <c r="AC123"/>
      <c r="AD123"/>
      <c r="AE123"/>
      <c r="AF123"/>
      <c r="AG123"/>
    </row>
    <row r="124" spans="28:33" s="1" customFormat="1" x14ac:dyDescent="0.3">
      <c r="AB124"/>
      <c r="AC124"/>
      <c r="AD124"/>
      <c r="AE124"/>
      <c r="AF124"/>
      <c r="AG124"/>
    </row>
    <row r="125" spans="28:33" s="1" customFormat="1" x14ac:dyDescent="0.3">
      <c r="AB125"/>
      <c r="AC125"/>
      <c r="AD125"/>
      <c r="AE125"/>
      <c r="AF125"/>
      <c r="AG125"/>
    </row>
    <row r="126" spans="28:33" s="1" customFormat="1" x14ac:dyDescent="0.3">
      <c r="AB126"/>
      <c r="AC126"/>
      <c r="AD126"/>
      <c r="AE126"/>
      <c r="AF126"/>
      <c r="AG126"/>
    </row>
    <row r="127" spans="28:33" s="1" customFormat="1" x14ac:dyDescent="0.3">
      <c r="AB127"/>
      <c r="AC127"/>
      <c r="AD127"/>
      <c r="AE127"/>
      <c r="AF127"/>
      <c r="AG127"/>
    </row>
    <row r="128" spans="28:33" s="1" customFormat="1" x14ac:dyDescent="0.3">
      <c r="AB128"/>
      <c r="AC128"/>
      <c r="AD128"/>
      <c r="AE128"/>
      <c r="AF128"/>
      <c r="AG128"/>
    </row>
    <row r="129" spans="28:33" s="1" customFormat="1" x14ac:dyDescent="0.3">
      <c r="AB129"/>
      <c r="AC129"/>
      <c r="AD129"/>
      <c r="AE129"/>
      <c r="AF129"/>
      <c r="AG129"/>
    </row>
    <row r="130" spans="28:33" s="1" customFormat="1" x14ac:dyDescent="0.3">
      <c r="AB130"/>
      <c r="AC130"/>
      <c r="AD130"/>
      <c r="AE130"/>
      <c r="AF130"/>
      <c r="AG130"/>
    </row>
    <row r="131" spans="28:33" s="1" customFormat="1" x14ac:dyDescent="0.3">
      <c r="AB131"/>
      <c r="AC131"/>
      <c r="AD131"/>
      <c r="AE131"/>
      <c r="AF131"/>
      <c r="AG131"/>
    </row>
    <row r="132" spans="28:33" s="1" customFormat="1" x14ac:dyDescent="0.3">
      <c r="AB132"/>
      <c r="AC132"/>
      <c r="AD132"/>
      <c r="AE132"/>
      <c r="AF132"/>
      <c r="AG132"/>
    </row>
    <row r="133" spans="28:33" s="1" customFormat="1" x14ac:dyDescent="0.3">
      <c r="AB133"/>
      <c r="AC133"/>
      <c r="AD133"/>
      <c r="AE133"/>
      <c r="AF133"/>
      <c r="AG133"/>
    </row>
    <row r="134" spans="28:33" s="1" customFormat="1" x14ac:dyDescent="0.3">
      <c r="AB134"/>
      <c r="AC134"/>
      <c r="AD134"/>
      <c r="AE134"/>
      <c r="AF134"/>
      <c r="AG134"/>
    </row>
    <row r="135" spans="28:33" s="1" customFormat="1" x14ac:dyDescent="0.3">
      <c r="AB135"/>
      <c r="AC135"/>
      <c r="AD135"/>
      <c r="AE135"/>
      <c r="AF135"/>
      <c r="AG135"/>
    </row>
    <row r="136" spans="28:33" s="1" customFormat="1" x14ac:dyDescent="0.3">
      <c r="AB136"/>
      <c r="AC136"/>
      <c r="AD136"/>
      <c r="AE136"/>
      <c r="AF136"/>
      <c r="AG136"/>
    </row>
    <row r="137" spans="28:33" s="1" customFormat="1" x14ac:dyDescent="0.3">
      <c r="AB137"/>
      <c r="AC137"/>
      <c r="AD137"/>
      <c r="AE137"/>
      <c r="AF137"/>
      <c r="AG137"/>
    </row>
    <row r="138" spans="28:33" s="1" customFormat="1" x14ac:dyDescent="0.3">
      <c r="AB138"/>
      <c r="AC138"/>
      <c r="AD138"/>
      <c r="AE138"/>
      <c r="AF138"/>
      <c r="AG138"/>
    </row>
    <row r="139" spans="28:33" s="1" customFormat="1" x14ac:dyDescent="0.3">
      <c r="AB139"/>
      <c r="AC139"/>
      <c r="AD139"/>
      <c r="AE139"/>
      <c r="AF139"/>
      <c r="AG139"/>
    </row>
    <row r="140" spans="28:33" s="1" customFormat="1" x14ac:dyDescent="0.3">
      <c r="AB140"/>
      <c r="AC140"/>
      <c r="AD140"/>
      <c r="AE140"/>
      <c r="AF140"/>
      <c r="AG140"/>
    </row>
    <row r="141" spans="28:33" s="1" customFormat="1" x14ac:dyDescent="0.3">
      <c r="AB141"/>
      <c r="AC141"/>
      <c r="AD141"/>
      <c r="AE141"/>
      <c r="AF141"/>
      <c r="AG141"/>
    </row>
    <row r="142" spans="28:33" s="1" customFormat="1" x14ac:dyDescent="0.3">
      <c r="AB142"/>
      <c r="AC142"/>
      <c r="AD142"/>
      <c r="AE142"/>
      <c r="AF142"/>
      <c r="AG142"/>
    </row>
    <row r="143" spans="28:33" s="1" customFormat="1" x14ac:dyDescent="0.3">
      <c r="AB143"/>
      <c r="AC143"/>
      <c r="AD143"/>
      <c r="AE143"/>
      <c r="AF143"/>
      <c r="AG143"/>
    </row>
    <row r="144" spans="28:33" s="1" customFormat="1" x14ac:dyDescent="0.3">
      <c r="AB144"/>
      <c r="AC144"/>
      <c r="AD144"/>
      <c r="AE144"/>
      <c r="AF144"/>
      <c r="AG144"/>
    </row>
    <row r="145" spans="28:33" s="1" customFormat="1" x14ac:dyDescent="0.3">
      <c r="AB145"/>
      <c r="AC145"/>
      <c r="AD145"/>
      <c r="AE145"/>
      <c r="AF145"/>
      <c r="AG145"/>
    </row>
    <row r="146" spans="28:33" s="1" customFormat="1" x14ac:dyDescent="0.3">
      <c r="AB146"/>
      <c r="AC146"/>
      <c r="AD146"/>
      <c r="AE146"/>
      <c r="AF146"/>
      <c r="AG146"/>
    </row>
    <row r="147" spans="28:33" s="1" customFormat="1" x14ac:dyDescent="0.3">
      <c r="AB147"/>
      <c r="AC147"/>
      <c r="AD147"/>
      <c r="AE147"/>
      <c r="AF147"/>
      <c r="AG147"/>
    </row>
    <row r="148" spans="28:33" s="1" customFormat="1" x14ac:dyDescent="0.3">
      <c r="AB148"/>
      <c r="AC148"/>
      <c r="AD148"/>
      <c r="AE148"/>
      <c r="AF148"/>
      <c r="AG148"/>
    </row>
    <row r="149" spans="28:33" s="1" customFormat="1" x14ac:dyDescent="0.3">
      <c r="AB149"/>
      <c r="AC149"/>
      <c r="AD149"/>
      <c r="AE149"/>
      <c r="AF149"/>
      <c r="AG149"/>
    </row>
    <row r="150" spans="28:33" s="1" customFormat="1" x14ac:dyDescent="0.3">
      <c r="AB150"/>
      <c r="AC150"/>
      <c r="AD150"/>
      <c r="AE150"/>
      <c r="AF150"/>
      <c r="AG150"/>
    </row>
    <row r="151" spans="28:33" s="1" customFormat="1" x14ac:dyDescent="0.3">
      <c r="AB151"/>
      <c r="AC151"/>
      <c r="AD151"/>
      <c r="AE151"/>
      <c r="AF151"/>
      <c r="AG151"/>
    </row>
    <row r="152" spans="28:33" s="1" customFormat="1" x14ac:dyDescent="0.3">
      <c r="AB152"/>
      <c r="AC152"/>
      <c r="AD152"/>
      <c r="AE152"/>
      <c r="AF152"/>
      <c r="AG152"/>
    </row>
    <row r="153" spans="28:33" s="1" customFormat="1" x14ac:dyDescent="0.3">
      <c r="AB153"/>
      <c r="AC153"/>
      <c r="AD153"/>
      <c r="AE153"/>
      <c r="AF153"/>
      <c r="AG153"/>
    </row>
    <row r="154" spans="28:33" s="1" customFormat="1" x14ac:dyDescent="0.3">
      <c r="AB154"/>
      <c r="AC154"/>
      <c r="AD154"/>
      <c r="AE154"/>
      <c r="AF154"/>
      <c r="AG154"/>
    </row>
    <row r="155" spans="28:33" s="1" customFormat="1" x14ac:dyDescent="0.3">
      <c r="AB155"/>
      <c r="AC155"/>
      <c r="AD155"/>
      <c r="AE155"/>
      <c r="AF155"/>
      <c r="AG155"/>
    </row>
    <row r="156" spans="28:33" s="1" customFormat="1" x14ac:dyDescent="0.3">
      <c r="AB156"/>
      <c r="AC156"/>
      <c r="AD156"/>
      <c r="AE156"/>
      <c r="AF156"/>
      <c r="AG156"/>
    </row>
    <row r="157" spans="28:33" s="1" customFormat="1" x14ac:dyDescent="0.3">
      <c r="AB157"/>
      <c r="AC157"/>
      <c r="AD157"/>
      <c r="AE157"/>
      <c r="AF157"/>
      <c r="AG157"/>
    </row>
    <row r="158" spans="28:33" s="1" customFormat="1" x14ac:dyDescent="0.3">
      <c r="AB158"/>
      <c r="AC158"/>
      <c r="AD158"/>
      <c r="AE158"/>
      <c r="AF158"/>
      <c r="AG158"/>
    </row>
    <row r="159" spans="28:33" s="1" customFormat="1" x14ac:dyDescent="0.3">
      <c r="AB159"/>
      <c r="AC159"/>
      <c r="AD159"/>
      <c r="AE159"/>
      <c r="AF159"/>
      <c r="AG159"/>
    </row>
    <row r="160" spans="28:33" s="1" customFormat="1" x14ac:dyDescent="0.3">
      <c r="AB160"/>
      <c r="AC160"/>
      <c r="AD160"/>
      <c r="AE160"/>
      <c r="AF160"/>
      <c r="AG160"/>
    </row>
    <row r="161" spans="28:33" s="1" customFormat="1" x14ac:dyDescent="0.3">
      <c r="AB161"/>
      <c r="AC161"/>
      <c r="AD161"/>
      <c r="AE161"/>
      <c r="AF161"/>
      <c r="AG161"/>
    </row>
    <row r="162" spans="28:33" s="1" customFormat="1" x14ac:dyDescent="0.3">
      <c r="AB162"/>
      <c r="AC162"/>
      <c r="AD162"/>
      <c r="AE162"/>
      <c r="AF162"/>
      <c r="AG162"/>
    </row>
    <row r="163" spans="28:33" s="1" customFormat="1" x14ac:dyDescent="0.3">
      <c r="AB163"/>
      <c r="AC163"/>
      <c r="AD163"/>
      <c r="AE163"/>
      <c r="AF163"/>
      <c r="AG163"/>
    </row>
    <row r="164" spans="28:33" s="1" customFormat="1" x14ac:dyDescent="0.3">
      <c r="AB164"/>
      <c r="AC164"/>
      <c r="AD164"/>
      <c r="AE164"/>
      <c r="AF164"/>
      <c r="AG164"/>
    </row>
    <row r="165" spans="28:33" s="1" customFormat="1" x14ac:dyDescent="0.3">
      <c r="AB165"/>
      <c r="AC165"/>
      <c r="AD165"/>
      <c r="AE165"/>
      <c r="AF165"/>
      <c r="AG165"/>
    </row>
    <row r="166" spans="28:33" s="1" customFormat="1" x14ac:dyDescent="0.3">
      <c r="AB166"/>
      <c r="AC166"/>
      <c r="AD166"/>
      <c r="AE166"/>
      <c r="AF166"/>
      <c r="AG166"/>
    </row>
    <row r="167" spans="28:33" s="1" customFormat="1" x14ac:dyDescent="0.3">
      <c r="AB167"/>
      <c r="AC167"/>
      <c r="AD167"/>
      <c r="AE167"/>
      <c r="AF167"/>
      <c r="AG167"/>
    </row>
    <row r="168" spans="28:33" s="1" customFormat="1" x14ac:dyDescent="0.3">
      <c r="AB168"/>
      <c r="AC168"/>
      <c r="AD168"/>
      <c r="AE168"/>
      <c r="AF168"/>
      <c r="AG168"/>
    </row>
    <row r="169" spans="28:33" s="1" customFormat="1" x14ac:dyDescent="0.3">
      <c r="AB169"/>
      <c r="AC169"/>
      <c r="AD169"/>
      <c r="AE169"/>
      <c r="AF169"/>
      <c r="AG169"/>
    </row>
    <row r="170" spans="28:33" s="1" customFormat="1" x14ac:dyDescent="0.3">
      <c r="AB170"/>
      <c r="AC170"/>
      <c r="AD170"/>
      <c r="AE170"/>
      <c r="AF170"/>
      <c r="AG170"/>
    </row>
    <row r="171" spans="28:33" s="1" customFormat="1" x14ac:dyDescent="0.3">
      <c r="AB171"/>
      <c r="AC171"/>
      <c r="AD171"/>
      <c r="AE171"/>
      <c r="AF171"/>
      <c r="AG171"/>
    </row>
    <row r="172" spans="28:33" s="1" customFormat="1" x14ac:dyDescent="0.3">
      <c r="AB172"/>
      <c r="AC172"/>
      <c r="AD172"/>
      <c r="AE172"/>
      <c r="AF172"/>
      <c r="AG172"/>
    </row>
    <row r="173" spans="28:33" s="1" customFormat="1" x14ac:dyDescent="0.3">
      <c r="AB173"/>
      <c r="AC173"/>
      <c r="AD173"/>
      <c r="AE173"/>
      <c r="AF173"/>
      <c r="AG173"/>
    </row>
    <row r="174" spans="28:33" s="1" customFormat="1" x14ac:dyDescent="0.3">
      <c r="AB174"/>
      <c r="AC174"/>
      <c r="AD174"/>
      <c r="AE174"/>
      <c r="AF174"/>
      <c r="AG174"/>
    </row>
    <row r="175" spans="28:33" s="1" customFormat="1" x14ac:dyDescent="0.3">
      <c r="AB175"/>
      <c r="AC175"/>
      <c r="AD175"/>
      <c r="AE175"/>
      <c r="AF175"/>
      <c r="AG175"/>
    </row>
    <row r="176" spans="28:33" s="1" customFormat="1" x14ac:dyDescent="0.3">
      <c r="AB176"/>
      <c r="AC176"/>
      <c r="AD176"/>
      <c r="AE176"/>
      <c r="AF176"/>
      <c r="AG176"/>
    </row>
    <row r="177" spans="28:33" s="1" customFormat="1" x14ac:dyDescent="0.3">
      <c r="AB177"/>
      <c r="AC177"/>
      <c r="AD177"/>
      <c r="AE177"/>
      <c r="AF177"/>
      <c r="AG177"/>
    </row>
    <row r="178" spans="28:33" s="1" customFormat="1" x14ac:dyDescent="0.3">
      <c r="AB178"/>
      <c r="AC178"/>
      <c r="AD178"/>
      <c r="AE178"/>
      <c r="AF178"/>
      <c r="AG178"/>
    </row>
    <row r="179" spans="28:33" s="1" customFormat="1" x14ac:dyDescent="0.3">
      <c r="AB179"/>
      <c r="AC179"/>
      <c r="AD179"/>
      <c r="AE179"/>
      <c r="AF179"/>
      <c r="AG179"/>
    </row>
    <row r="180" spans="28:33" s="1" customFormat="1" x14ac:dyDescent="0.3">
      <c r="AB180"/>
      <c r="AC180"/>
      <c r="AD180"/>
      <c r="AE180"/>
      <c r="AF180"/>
      <c r="AG180"/>
    </row>
    <row r="181" spans="28:33" s="1" customFormat="1" x14ac:dyDescent="0.3">
      <c r="AB181"/>
      <c r="AC181"/>
      <c r="AD181"/>
      <c r="AE181"/>
      <c r="AF181"/>
      <c r="AG181"/>
    </row>
    <row r="182" spans="28:33" s="1" customFormat="1" x14ac:dyDescent="0.3">
      <c r="AB182"/>
      <c r="AC182"/>
      <c r="AD182"/>
      <c r="AE182"/>
      <c r="AF182"/>
      <c r="AG182"/>
    </row>
    <row r="183" spans="28:33" s="1" customFormat="1" x14ac:dyDescent="0.3">
      <c r="AB183"/>
      <c r="AC183"/>
      <c r="AD183"/>
      <c r="AE183"/>
      <c r="AF183"/>
      <c r="AG183"/>
    </row>
    <row r="184" spans="28:33" s="1" customFormat="1" x14ac:dyDescent="0.3">
      <c r="AB184"/>
      <c r="AC184"/>
      <c r="AD184"/>
      <c r="AE184"/>
      <c r="AF184"/>
      <c r="AG184"/>
    </row>
    <row r="185" spans="28:33" s="1" customFormat="1" x14ac:dyDescent="0.3">
      <c r="AB185"/>
      <c r="AC185"/>
      <c r="AD185"/>
      <c r="AE185"/>
      <c r="AF185"/>
      <c r="AG185"/>
    </row>
    <row r="186" spans="28:33" s="1" customFormat="1" x14ac:dyDescent="0.3">
      <c r="AB186"/>
      <c r="AC186"/>
      <c r="AD186"/>
      <c r="AE186"/>
      <c r="AF186"/>
      <c r="AG186"/>
    </row>
    <row r="187" spans="28:33" s="1" customFormat="1" x14ac:dyDescent="0.3">
      <c r="AB187"/>
      <c r="AC187"/>
      <c r="AD187"/>
      <c r="AE187"/>
      <c r="AF187"/>
      <c r="AG187"/>
    </row>
    <row r="188" spans="28:33" s="1" customFormat="1" x14ac:dyDescent="0.3">
      <c r="AB188"/>
      <c r="AC188"/>
      <c r="AD188"/>
      <c r="AE188"/>
      <c r="AF188"/>
      <c r="AG188"/>
    </row>
    <row r="189" spans="28:33" s="1" customFormat="1" x14ac:dyDescent="0.3">
      <c r="AB189"/>
      <c r="AC189"/>
      <c r="AD189"/>
      <c r="AE189"/>
      <c r="AF189"/>
      <c r="AG189"/>
    </row>
    <row r="190" spans="28:33" s="1" customFormat="1" x14ac:dyDescent="0.3">
      <c r="AB190"/>
      <c r="AC190"/>
      <c r="AD190"/>
      <c r="AE190"/>
      <c r="AF190"/>
      <c r="AG190"/>
    </row>
    <row r="191" spans="28:33" s="1" customFormat="1" x14ac:dyDescent="0.3">
      <c r="AB191"/>
      <c r="AC191"/>
      <c r="AD191"/>
      <c r="AE191"/>
      <c r="AF191"/>
      <c r="AG191"/>
    </row>
    <row r="192" spans="28:33" s="1" customFormat="1" x14ac:dyDescent="0.3">
      <c r="AB192"/>
      <c r="AC192"/>
      <c r="AD192"/>
      <c r="AE192"/>
      <c r="AF192"/>
      <c r="AG192"/>
    </row>
    <row r="193" spans="28:33" s="1" customFormat="1" x14ac:dyDescent="0.3">
      <c r="AB193"/>
      <c r="AC193"/>
      <c r="AD193"/>
      <c r="AE193"/>
      <c r="AF193"/>
      <c r="AG193"/>
    </row>
    <row r="194" spans="28:33" s="1" customFormat="1" x14ac:dyDescent="0.3">
      <c r="AB194"/>
      <c r="AC194"/>
      <c r="AD194"/>
      <c r="AE194"/>
      <c r="AF194"/>
      <c r="AG194"/>
    </row>
    <row r="195" spans="28:33" s="1" customFormat="1" x14ac:dyDescent="0.3">
      <c r="AB195"/>
      <c r="AC195"/>
      <c r="AD195"/>
      <c r="AE195"/>
      <c r="AF195"/>
      <c r="AG195"/>
    </row>
    <row r="196" spans="28:33" s="1" customFormat="1" x14ac:dyDescent="0.3">
      <c r="AB196"/>
      <c r="AC196"/>
      <c r="AD196"/>
      <c r="AE196"/>
      <c r="AF196"/>
      <c r="AG196"/>
    </row>
    <row r="197" spans="28:33" s="1" customFormat="1" x14ac:dyDescent="0.3">
      <c r="AB197"/>
      <c r="AC197"/>
      <c r="AD197"/>
      <c r="AE197"/>
      <c r="AF197"/>
      <c r="AG197"/>
    </row>
    <row r="198" spans="28:33" s="1" customFormat="1" x14ac:dyDescent="0.3">
      <c r="AB198"/>
      <c r="AC198"/>
      <c r="AD198"/>
      <c r="AE198"/>
      <c r="AF198"/>
      <c r="AG198"/>
    </row>
    <row r="199" spans="28:33" s="1" customFormat="1" x14ac:dyDescent="0.3">
      <c r="AB199"/>
      <c r="AC199"/>
      <c r="AD199"/>
      <c r="AE199"/>
      <c r="AF199"/>
      <c r="AG199"/>
    </row>
    <row r="200" spans="28:33" s="1" customFormat="1" x14ac:dyDescent="0.3">
      <c r="AB200"/>
      <c r="AC200"/>
      <c r="AD200"/>
      <c r="AE200"/>
      <c r="AF200"/>
      <c r="AG200"/>
    </row>
    <row r="201" spans="28:33" s="1" customFormat="1" x14ac:dyDescent="0.3">
      <c r="AB201"/>
      <c r="AC201"/>
      <c r="AD201"/>
      <c r="AE201"/>
      <c r="AF201"/>
      <c r="AG201"/>
    </row>
    <row r="202" spans="28:33" s="1" customFormat="1" x14ac:dyDescent="0.3">
      <c r="AB202"/>
      <c r="AC202"/>
      <c r="AD202"/>
      <c r="AE202"/>
      <c r="AF202"/>
      <c r="AG202"/>
    </row>
    <row r="203" spans="28:33" s="1" customFormat="1" x14ac:dyDescent="0.3">
      <c r="AB203"/>
      <c r="AC203"/>
      <c r="AD203"/>
      <c r="AE203"/>
      <c r="AF203"/>
      <c r="AG203"/>
    </row>
    <row r="204" spans="28:33" s="1" customFormat="1" x14ac:dyDescent="0.3">
      <c r="AB204"/>
      <c r="AC204"/>
      <c r="AD204"/>
      <c r="AE204"/>
      <c r="AF204"/>
      <c r="AG204"/>
    </row>
    <row r="205" spans="28:33" s="1" customFormat="1" x14ac:dyDescent="0.3">
      <c r="AB205"/>
      <c r="AC205"/>
      <c r="AD205"/>
      <c r="AE205"/>
      <c r="AF205"/>
      <c r="AG205"/>
    </row>
    <row r="206" spans="28:33" s="1" customFormat="1" x14ac:dyDescent="0.3">
      <c r="AB206"/>
      <c r="AC206"/>
      <c r="AD206"/>
      <c r="AE206"/>
      <c r="AF206"/>
      <c r="AG206"/>
    </row>
    <row r="207" spans="28:33" s="1" customFormat="1" x14ac:dyDescent="0.3">
      <c r="AB207"/>
      <c r="AC207"/>
      <c r="AD207"/>
      <c r="AE207"/>
      <c r="AF207"/>
      <c r="AG207"/>
    </row>
    <row r="208" spans="28:33" s="1" customFormat="1" x14ac:dyDescent="0.3">
      <c r="AB208"/>
      <c r="AC208"/>
      <c r="AD208"/>
      <c r="AE208"/>
      <c r="AF208"/>
      <c r="AG208"/>
    </row>
    <row r="209" spans="28:33" s="1" customFormat="1" x14ac:dyDescent="0.3">
      <c r="AB209"/>
      <c r="AC209"/>
      <c r="AD209"/>
      <c r="AE209"/>
      <c r="AF209"/>
      <c r="AG209"/>
    </row>
    <row r="210" spans="28:33" s="1" customFormat="1" x14ac:dyDescent="0.3">
      <c r="AB210"/>
      <c r="AC210"/>
      <c r="AD210"/>
      <c r="AE210"/>
      <c r="AF210"/>
      <c r="AG210"/>
    </row>
    <row r="211" spans="28:33" s="1" customFormat="1" x14ac:dyDescent="0.3">
      <c r="AB211"/>
      <c r="AC211"/>
      <c r="AD211"/>
      <c r="AE211"/>
      <c r="AF211"/>
      <c r="AG211"/>
    </row>
    <row r="212" spans="28:33" s="1" customFormat="1" x14ac:dyDescent="0.3">
      <c r="AB212"/>
      <c r="AC212"/>
      <c r="AD212"/>
      <c r="AE212"/>
      <c r="AF212"/>
      <c r="AG212"/>
    </row>
    <row r="213" spans="28:33" s="1" customFormat="1" x14ac:dyDescent="0.3">
      <c r="AB213"/>
      <c r="AC213"/>
      <c r="AD213"/>
      <c r="AE213"/>
      <c r="AF213"/>
      <c r="AG213"/>
    </row>
    <row r="214" spans="28:33" s="1" customFormat="1" x14ac:dyDescent="0.3">
      <c r="AB214"/>
      <c r="AC214"/>
      <c r="AD214"/>
      <c r="AE214"/>
      <c r="AF214"/>
      <c r="AG214"/>
    </row>
    <row r="215" spans="28:33" s="1" customFormat="1" x14ac:dyDescent="0.3">
      <c r="AB215"/>
      <c r="AC215"/>
      <c r="AD215"/>
      <c r="AE215"/>
      <c r="AF215"/>
      <c r="AG215"/>
    </row>
    <row r="216" spans="28:33" s="1" customFormat="1" x14ac:dyDescent="0.3">
      <c r="AB216"/>
      <c r="AC216"/>
      <c r="AD216"/>
      <c r="AE216"/>
      <c r="AF216"/>
      <c r="AG216"/>
    </row>
    <row r="217" spans="28:33" s="1" customFormat="1" x14ac:dyDescent="0.3">
      <c r="AB217"/>
      <c r="AC217"/>
      <c r="AD217"/>
      <c r="AE217"/>
      <c r="AF217"/>
      <c r="AG217"/>
    </row>
    <row r="218" spans="28:33" s="1" customFormat="1" x14ac:dyDescent="0.3">
      <c r="AB218"/>
      <c r="AC218"/>
      <c r="AD218"/>
      <c r="AE218"/>
      <c r="AF218"/>
      <c r="AG218"/>
    </row>
    <row r="219" spans="28:33" s="1" customFormat="1" x14ac:dyDescent="0.3">
      <c r="AB219"/>
      <c r="AC219"/>
      <c r="AD219"/>
      <c r="AE219"/>
      <c r="AF219"/>
      <c r="AG219"/>
    </row>
    <row r="220" spans="28:33" s="1" customFormat="1" x14ac:dyDescent="0.3">
      <c r="AB220"/>
      <c r="AC220"/>
      <c r="AD220"/>
      <c r="AE220"/>
      <c r="AF220"/>
      <c r="AG220"/>
    </row>
    <row r="221" spans="28:33" s="1" customFormat="1" x14ac:dyDescent="0.3">
      <c r="AB221"/>
      <c r="AC221"/>
      <c r="AD221"/>
      <c r="AE221"/>
      <c r="AF221"/>
      <c r="AG221"/>
    </row>
    <row r="222" spans="28:33" s="1" customFormat="1" x14ac:dyDescent="0.3">
      <c r="AB222"/>
      <c r="AC222"/>
      <c r="AD222"/>
      <c r="AE222"/>
      <c r="AF222"/>
      <c r="AG222"/>
    </row>
    <row r="223" spans="28:33" s="1" customFormat="1" x14ac:dyDescent="0.3">
      <c r="AB223"/>
      <c r="AC223"/>
      <c r="AD223"/>
      <c r="AE223"/>
      <c r="AF223"/>
      <c r="AG223"/>
    </row>
    <row r="224" spans="28:33" s="1" customFormat="1" x14ac:dyDescent="0.3">
      <c r="AB224"/>
      <c r="AC224"/>
      <c r="AD224"/>
      <c r="AE224"/>
      <c r="AF224"/>
      <c r="AG224"/>
    </row>
    <row r="225" spans="28:33" s="1" customFormat="1" x14ac:dyDescent="0.3">
      <c r="AB225"/>
      <c r="AC225"/>
      <c r="AD225"/>
      <c r="AE225"/>
      <c r="AF225"/>
      <c r="AG225"/>
    </row>
    <row r="226" spans="28:33" s="1" customFormat="1" x14ac:dyDescent="0.3">
      <c r="AB226"/>
      <c r="AC226"/>
      <c r="AD226"/>
      <c r="AE226"/>
      <c r="AF226"/>
      <c r="AG226"/>
    </row>
    <row r="227" spans="28:33" s="1" customFormat="1" x14ac:dyDescent="0.3">
      <c r="AB227"/>
      <c r="AC227"/>
      <c r="AD227"/>
      <c r="AE227"/>
      <c r="AF227"/>
      <c r="AG227"/>
    </row>
    <row r="228" spans="28:33" s="1" customFormat="1" x14ac:dyDescent="0.3">
      <c r="AB228"/>
      <c r="AC228"/>
      <c r="AD228"/>
      <c r="AE228"/>
      <c r="AF228"/>
      <c r="AG228"/>
    </row>
    <row r="229" spans="28:33" s="1" customFormat="1" x14ac:dyDescent="0.3">
      <c r="AB229"/>
      <c r="AC229"/>
      <c r="AD229"/>
      <c r="AE229"/>
      <c r="AF229"/>
      <c r="AG229"/>
    </row>
    <row r="230" spans="28:33" s="1" customFormat="1" x14ac:dyDescent="0.3">
      <c r="AB230"/>
      <c r="AC230"/>
      <c r="AD230"/>
      <c r="AE230"/>
      <c r="AF230"/>
      <c r="AG230"/>
    </row>
    <row r="231" spans="28:33" s="1" customFormat="1" x14ac:dyDescent="0.3">
      <c r="AB231"/>
      <c r="AC231"/>
      <c r="AD231"/>
      <c r="AE231"/>
      <c r="AF231"/>
      <c r="AG231"/>
    </row>
    <row r="232" spans="28:33" s="1" customFormat="1" x14ac:dyDescent="0.3">
      <c r="AB232"/>
      <c r="AC232"/>
      <c r="AD232"/>
      <c r="AE232"/>
      <c r="AF232"/>
      <c r="AG232"/>
    </row>
    <row r="233" spans="28:33" s="1" customFormat="1" x14ac:dyDescent="0.3">
      <c r="AB233"/>
      <c r="AC233"/>
      <c r="AD233"/>
      <c r="AE233"/>
      <c r="AF233"/>
      <c r="AG233"/>
    </row>
    <row r="234" spans="28:33" s="1" customFormat="1" x14ac:dyDescent="0.3">
      <c r="AB234"/>
      <c r="AC234"/>
      <c r="AD234"/>
      <c r="AE234"/>
      <c r="AF234"/>
      <c r="AG234"/>
    </row>
    <row r="235" spans="28:33" s="1" customFormat="1" x14ac:dyDescent="0.3">
      <c r="AB235"/>
      <c r="AC235"/>
      <c r="AD235"/>
      <c r="AE235"/>
      <c r="AF235"/>
      <c r="AG235"/>
    </row>
    <row r="236" spans="28:33" s="1" customFormat="1" x14ac:dyDescent="0.3">
      <c r="AB236"/>
      <c r="AC236"/>
      <c r="AD236"/>
      <c r="AE236"/>
      <c r="AF236"/>
      <c r="AG236"/>
    </row>
    <row r="237" spans="28:33" s="1" customFormat="1" x14ac:dyDescent="0.3">
      <c r="AB237"/>
      <c r="AC237"/>
      <c r="AD237"/>
      <c r="AE237"/>
      <c r="AF237"/>
      <c r="AG237"/>
    </row>
    <row r="238" spans="28:33" s="1" customFormat="1" x14ac:dyDescent="0.3">
      <c r="AB238"/>
      <c r="AC238"/>
      <c r="AD238"/>
      <c r="AE238"/>
      <c r="AF238"/>
      <c r="AG238"/>
    </row>
    <row r="239" spans="28:33" s="1" customFormat="1" x14ac:dyDescent="0.3">
      <c r="AB239"/>
      <c r="AC239"/>
      <c r="AD239"/>
      <c r="AE239"/>
      <c r="AF239"/>
      <c r="AG239"/>
    </row>
    <row r="240" spans="28:33" s="1" customFormat="1" x14ac:dyDescent="0.3">
      <c r="AB240"/>
      <c r="AC240"/>
      <c r="AD240"/>
      <c r="AE240"/>
      <c r="AF240"/>
      <c r="AG240"/>
    </row>
    <row r="241" spans="28:33" s="1" customFormat="1" x14ac:dyDescent="0.3">
      <c r="AB241"/>
      <c r="AC241"/>
      <c r="AD241"/>
      <c r="AE241"/>
      <c r="AF241"/>
      <c r="AG241"/>
    </row>
    <row r="242" spans="28:33" s="1" customFormat="1" x14ac:dyDescent="0.3">
      <c r="AB242"/>
      <c r="AC242"/>
      <c r="AD242"/>
      <c r="AE242"/>
      <c r="AF242"/>
      <c r="AG242"/>
    </row>
    <row r="243" spans="28:33" s="1" customFormat="1" x14ac:dyDescent="0.3">
      <c r="AB243"/>
      <c r="AC243"/>
      <c r="AD243"/>
      <c r="AE243"/>
      <c r="AF243"/>
      <c r="AG243"/>
    </row>
    <row r="244" spans="28:33" s="1" customFormat="1" x14ac:dyDescent="0.3">
      <c r="AB244"/>
      <c r="AC244"/>
      <c r="AD244"/>
      <c r="AE244"/>
      <c r="AF244"/>
      <c r="AG244"/>
    </row>
    <row r="245" spans="28:33" s="1" customFormat="1" x14ac:dyDescent="0.3">
      <c r="AB245"/>
      <c r="AC245"/>
      <c r="AD245"/>
      <c r="AE245"/>
      <c r="AF245"/>
      <c r="AG245"/>
    </row>
    <row r="246" spans="28:33" s="1" customFormat="1" x14ac:dyDescent="0.3">
      <c r="AB246"/>
      <c r="AC246"/>
      <c r="AD246"/>
      <c r="AE246"/>
      <c r="AF246"/>
      <c r="AG246"/>
    </row>
    <row r="247" spans="28:33" s="1" customFormat="1" x14ac:dyDescent="0.3">
      <c r="AB247"/>
      <c r="AC247"/>
      <c r="AD247"/>
      <c r="AE247"/>
      <c r="AF247"/>
      <c r="AG247"/>
    </row>
    <row r="248" spans="28:33" s="1" customFormat="1" x14ac:dyDescent="0.3">
      <c r="AB248"/>
      <c r="AC248"/>
      <c r="AD248"/>
      <c r="AE248"/>
      <c r="AF248"/>
      <c r="AG248"/>
    </row>
    <row r="249" spans="28:33" s="1" customFormat="1" x14ac:dyDescent="0.3">
      <c r="AB249"/>
      <c r="AC249"/>
      <c r="AD249"/>
      <c r="AE249"/>
      <c r="AF249"/>
      <c r="AG249"/>
    </row>
    <row r="250" spans="28:33" s="1" customFormat="1" x14ac:dyDescent="0.3">
      <c r="AB250"/>
      <c r="AC250"/>
      <c r="AD250"/>
      <c r="AE250"/>
      <c r="AF250"/>
      <c r="AG250"/>
    </row>
    <row r="251" spans="28:33" s="1" customFormat="1" x14ac:dyDescent="0.3">
      <c r="AB251"/>
      <c r="AC251"/>
      <c r="AD251"/>
      <c r="AE251"/>
      <c r="AF251"/>
      <c r="AG251"/>
    </row>
    <row r="252" spans="28:33" s="1" customFormat="1" x14ac:dyDescent="0.3">
      <c r="AB252"/>
      <c r="AC252"/>
      <c r="AD252"/>
      <c r="AE252"/>
      <c r="AF252"/>
      <c r="AG252"/>
    </row>
    <row r="253" spans="28:33" s="1" customFormat="1" x14ac:dyDescent="0.3">
      <c r="AB253"/>
      <c r="AC253"/>
      <c r="AD253"/>
      <c r="AE253"/>
      <c r="AF253"/>
      <c r="AG253"/>
    </row>
    <row r="254" spans="28:33" s="1" customFormat="1" x14ac:dyDescent="0.3">
      <c r="AB254"/>
      <c r="AC254"/>
      <c r="AD254"/>
      <c r="AE254"/>
      <c r="AF254"/>
      <c r="AG254"/>
    </row>
    <row r="255" spans="28:33" s="1" customFormat="1" x14ac:dyDescent="0.3">
      <c r="AB255"/>
      <c r="AC255"/>
      <c r="AD255"/>
      <c r="AE255"/>
      <c r="AF255"/>
      <c r="AG255"/>
    </row>
    <row r="256" spans="28:33" s="1" customFormat="1" x14ac:dyDescent="0.3">
      <c r="AB256"/>
      <c r="AC256"/>
      <c r="AD256"/>
      <c r="AE256"/>
      <c r="AF256"/>
      <c r="AG256"/>
    </row>
    <row r="257" spans="28:33" s="1" customFormat="1" x14ac:dyDescent="0.3">
      <c r="AB257"/>
      <c r="AC257"/>
      <c r="AD257"/>
      <c r="AE257"/>
      <c r="AF257"/>
      <c r="AG257"/>
    </row>
    <row r="258" spans="28:33" s="1" customFormat="1" x14ac:dyDescent="0.3">
      <c r="AB258"/>
      <c r="AC258"/>
      <c r="AD258"/>
      <c r="AE258"/>
      <c r="AF258"/>
      <c r="AG258"/>
    </row>
    <row r="259" spans="28:33" s="1" customFormat="1" x14ac:dyDescent="0.3">
      <c r="AB259"/>
      <c r="AC259"/>
      <c r="AD259"/>
      <c r="AE259"/>
      <c r="AF259"/>
      <c r="AG259"/>
    </row>
    <row r="260" spans="28:33" s="1" customFormat="1" x14ac:dyDescent="0.3">
      <c r="AB260"/>
      <c r="AC260"/>
      <c r="AD260"/>
      <c r="AE260"/>
      <c r="AF260"/>
      <c r="AG260"/>
    </row>
    <row r="261" spans="28:33" s="1" customFormat="1" x14ac:dyDescent="0.3">
      <c r="AB261"/>
      <c r="AC261"/>
      <c r="AD261"/>
      <c r="AE261"/>
      <c r="AF261"/>
      <c r="AG261"/>
    </row>
    <row r="262" spans="28:33" s="1" customFormat="1" x14ac:dyDescent="0.3">
      <c r="AB262"/>
      <c r="AC262"/>
      <c r="AD262"/>
      <c r="AE262"/>
      <c r="AF262"/>
      <c r="AG262"/>
    </row>
    <row r="263" spans="28:33" s="1" customFormat="1" x14ac:dyDescent="0.3">
      <c r="AB263"/>
      <c r="AC263"/>
      <c r="AD263"/>
      <c r="AE263"/>
      <c r="AF263"/>
      <c r="AG263"/>
    </row>
    <row r="264" spans="28:33" s="1" customFormat="1" x14ac:dyDescent="0.3">
      <c r="AB264"/>
      <c r="AC264"/>
      <c r="AD264"/>
      <c r="AE264"/>
      <c r="AF264"/>
      <c r="AG264"/>
    </row>
    <row r="265" spans="28:33" s="1" customFormat="1" x14ac:dyDescent="0.3">
      <c r="AB265"/>
      <c r="AC265"/>
      <c r="AD265"/>
      <c r="AE265"/>
      <c r="AF265"/>
      <c r="AG265"/>
    </row>
    <row r="266" spans="28:33" s="1" customFormat="1" x14ac:dyDescent="0.3">
      <c r="AB266"/>
      <c r="AC266"/>
      <c r="AD266"/>
      <c r="AE266"/>
      <c r="AF266"/>
      <c r="AG266"/>
    </row>
    <row r="267" spans="28:33" s="1" customFormat="1" x14ac:dyDescent="0.3">
      <c r="AB267"/>
      <c r="AC267"/>
      <c r="AD267"/>
      <c r="AE267"/>
      <c r="AF267"/>
      <c r="AG267"/>
    </row>
    <row r="268" spans="28:33" s="1" customFormat="1" x14ac:dyDescent="0.3">
      <c r="AB268"/>
      <c r="AC268"/>
      <c r="AD268"/>
      <c r="AE268"/>
      <c r="AF268"/>
      <c r="AG268"/>
    </row>
    <row r="269" spans="28:33" s="1" customFormat="1" x14ac:dyDescent="0.3">
      <c r="AB269"/>
      <c r="AC269"/>
      <c r="AD269"/>
      <c r="AE269"/>
      <c r="AF269"/>
      <c r="AG269"/>
    </row>
    <row r="270" spans="28:33" s="1" customFormat="1" x14ac:dyDescent="0.3">
      <c r="AB270"/>
      <c r="AC270"/>
      <c r="AD270"/>
      <c r="AE270"/>
      <c r="AF270"/>
      <c r="AG270"/>
    </row>
    <row r="271" spans="28:33" s="1" customFormat="1" x14ac:dyDescent="0.3">
      <c r="AB271"/>
      <c r="AC271"/>
      <c r="AD271"/>
      <c r="AE271"/>
      <c r="AF271"/>
      <c r="AG271"/>
    </row>
    <row r="272" spans="28:33" s="1" customFormat="1" x14ac:dyDescent="0.3">
      <c r="AB272"/>
      <c r="AC272"/>
      <c r="AD272"/>
      <c r="AE272"/>
      <c r="AF272"/>
      <c r="AG272"/>
    </row>
    <row r="273" spans="28:33" s="1" customFormat="1" x14ac:dyDescent="0.3">
      <c r="AB273"/>
      <c r="AC273"/>
      <c r="AD273"/>
      <c r="AE273"/>
      <c r="AF273"/>
      <c r="AG273"/>
    </row>
    <row r="274" spans="28:33" s="1" customFormat="1" x14ac:dyDescent="0.3">
      <c r="AB274"/>
      <c r="AC274"/>
      <c r="AD274"/>
      <c r="AE274"/>
      <c r="AF274"/>
      <c r="AG274"/>
    </row>
    <row r="275" spans="28:33" s="1" customFormat="1" x14ac:dyDescent="0.3">
      <c r="AB275"/>
      <c r="AC275"/>
      <c r="AD275"/>
      <c r="AE275"/>
      <c r="AF275"/>
      <c r="AG275"/>
    </row>
    <row r="276" spans="28:33" s="1" customFormat="1" x14ac:dyDescent="0.3">
      <c r="AB276"/>
      <c r="AC276"/>
      <c r="AD276"/>
      <c r="AE276"/>
      <c r="AF276"/>
      <c r="AG276"/>
    </row>
    <row r="277" spans="28:33" s="1" customFormat="1" x14ac:dyDescent="0.3">
      <c r="AB277"/>
      <c r="AC277"/>
      <c r="AD277"/>
      <c r="AE277"/>
      <c r="AF277"/>
      <c r="AG277"/>
    </row>
    <row r="278" spans="28:33" s="1" customFormat="1" x14ac:dyDescent="0.3">
      <c r="AB278"/>
      <c r="AC278"/>
      <c r="AD278"/>
      <c r="AE278"/>
      <c r="AF278"/>
      <c r="AG278"/>
    </row>
    <row r="279" spans="28:33" s="1" customFormat="1" x14ac:dyDescent="0.3">
      <c r="AB279"/>
      <c r="AC279"/>
      <c r="AD279"/>
      <c r="AE279"/>
      <c r="AF279"/>
      <c r="AG279"/>
    </row>
    <row r="280" spans="28:33" s="1" customFormat="1" x14ac:dyDescent="0.3">
      <c r="AB280"/>
      <c r="AC280"/>
      <c r="AD280"/>
      <c r="AE280"/>
      <c r="AF280"/>
      <c r="AG280"/>
    </row>
    <row r="281" spans="28:33" s="1" customFormat="1" x14ac:dyDescent="0.3">
      <c r="AB281"/>
      <c r="AC281"/>
      <c r="AD281"/>
      <c r="AE281"/>
      <c r="AF281"/>
      <c r="AG281"/>
    </row>
    <row r="282" spans="28:33" s="1" customFormat="1" x14ac:dyDescent="0.3">
      <c r="AB282"/>
      <c r="AC282"/>
      <c r="AD282"/>
      <c r="AE282"/>
      <c r="AF282"/>
      <c r="AG282"/>
    </row>
    <row r="283" spans="28:33" s="1" customFormat="1" x14ac:dyDescent="0.3">
      <c r="AB283"/>
      <c r="AC283"/>
      <c r="AD283"/>
      <c r="AE283"/>
      <c r="AF283"/>
      <c r="AG283"/>
    </row>
    <row r="284" spans="28:33" s="1" customFormat="1" x14ac:dyDescent="0.3">
      <c r="AB284"/>
      <c r="AC284"/>
      <c r="AD284"/>
      <c r="AE284"/>
      <c r="AF284"/>
      <c r="AG284"/>
    </row>
    <row r="285" spans="28:33" s="1" customFormat="1" x14ac:dyDescent="0.3">
      <c r="AB285"/>
      <c r="AC285"/>
      <c r="AD285"/>
      <c r="AE285"/>
      <c r="AF285"/>
      <c r="AG285"/>
    </row>
    <row r="286" spans="28:33" s="1" customFormat="1" x14ac:dyDescent="0.3">
      <c r="AB286"/>
      <c r="AC286"/>
      <c r="AD286"/>
      <c r="AE286"/>
      <c r="AF286"/>
      <c r="AG286"/>
    </row>
    <row r="287" spans="28:33" s="1" customFormat="1" x14ac:dyDescent="0.3">
      <c r="AB287"/>
      <c r="AC287"/>
      <c r="AD287"/>
      <c r="AE287"/>
      <c r="AF287"/>
      <c r="AG287"/>
    </row>
    <row r="288" spans="28:33" s="1" customFormat="1" x14ac:dyDescent="0.3">
      <c r="AB288"/>
      <c r="AC288"/>
      <c r="AD288"/>
      <c r="AE288"/>
      <c r="AF288"/>
      <c r="AG288"/>
    </row>
    <row r="289" spans="28:33" s="1" customFormat="1" x14ac:dyDescent="0.3">
      <c r="AB289"/>
      <c r="AC289"/>
      <c r="AD289"/>
      <c r="AE289"/>
      <c r="AF289"/>
      <c r="AG289"/>
    </row>
    <row r="290" spans="28:33" s="1" customFormat="1" x14ac:dyDescent="0.3">
      <c r="AB290"/>
      <c r="AC290"/>
      <c r="AD290"/>
      <c r="AE290"/>
      <c r="AF290"/>
      <c r="AG290"/>
    </row>
    <row r="291" spans="28:33" s="1" customFormat="1" x14ac:dyDescent="0.3">
      <c r="AB291"/>
      <c r="AC291"/>
      <c r="AD291"/>
      <c r="AE291"/>
      <c r="AF291"/>
      <c r="AG291"/>
    </row>
    <row r="292" spans="28:33" s="1" customFormat="1" x14ac:dyDescent="0.3">
      <c r="AB292"/>
      <c r="AC292"/>
      <c r="AD292"/>
      <c r="AE292"/>
      <c r="AF292"/>
      <c r="AG292"/>
    </row>
    <row r="293" spans="28:33" s="1" customFormat="1" x14ac:dyDescent="0.3">
      <c r="AB293"/>
      <c r="AC293"/>
      <c r="AD293"/>
      <c r="AE293"/>
      <c r="AF293"/>
      <c r="AG293"/>
    </row>
    <row r="294" spans="28:33" s="1" customFormat="1" x14ac:dyDescent="0.3">
      <c r="AB294"/>
      <c r="AC294"/>
      <c r="AD294"/>
      <c r="AE294"/>
      <c r="AF294"/>
      <c r="AG294"/>
    </row>
    <row r="295" spans="28:33" s="1" customFormat="1" x14ac:dyDescent="0.3">
      <c r="AB295"/>
      <c r="AC295"/>
      <c r="AD295"/>
      <c r="AE295"/>
      <c r="AF295"/>
      <c r="AG295"/>
    </row>
    <row r="296" spans="28:33" s="1" customFormat="1" x14ac:dyDescent="0.3">
      <c r="AB296"/>
      <c r="AC296"/>
      <c r="AD296"/>
      <c r="AE296"/>
      <c r="AF296"/>
      <c r="AG296"/>
    </row>
    <row r="297" spans="28:33" s="1" customFormat="1" x14ac:dyDescent="0.3">
      <c r="AB297"/>
      <c r="AC297"/>
      <c r="AD297"/>
      <c r="AE297"/>
      <c r="AF297"/>
      <c r="AG297"/>
    </row>
    <row r="298" spans="28:33" s="1" customFormat="1" x14ac:dyDescent="0.3">
      <c r="AB298"/>
      <c r="AC298"/>
      <c r="AD298"/>
      <c r="AE298"/>
      <c r="AF298"/>
      <c r="AG298"/>
    </row>
    <row r="299" spans="28:33" s="1" customFormat="1" x14ac:dyDescent="0.3">
      <c r="AB299"/>
      <c r="AC299"/>
      <c r="AD299"/>
      <c r="AE299"/>
      <c r="AF299"/>
      <c r="AG299"/>
    </row>
    <row r="300" spans="28:33" s="1" customFormat="1" x14ac:dyDescent="0.3">
      <c r="AB300"/>
      <c r="AC300"/>
      <c r="AD300"/>
      <c r="AE300"/>
      <c r="AF300"/>
      <c r="AG300"/>
    </row>
    <row r="301" spans="28:33" s="1" customFormat="1" x14ac:dyDescent="0.3">
      <c r="AB301"/>
      <c r="AC301"/>
      <c r="AD301"/>
      <c r="AE301"/>
      <c r="AF301"/>
      <c r="AG301"/>
    </row>
    <row r="302" spans="28:33" s="1" customFormat="1" x14ac:dyDescent="0.3">
      <c r="AB302"/>
      <c r="AC302"/>
      <c r="AD302"/>
      <c r="AE302"/>
      <c r="AF302"/>
      <c r="AG302"/>
    </row>
    <row r="303" spans="28:33" s="1" customFormat="1" x14ac:dyDescent="0.3">
      <c r="AB303"/>
      <c r="AC303"/>
      <c r="AD303"/>
      <c r="AE303"/>
      <c r="AF303"/>
      <c r="AG303"/>
    </row>
    <row r="304" spans="28:33" s="1" customFormat="1" x14ac:dyDescent="0.3">
      <c r="AB304"/>
      <c r="AC304"/>
      <c r="AD304"/>
      <c r="AE304"/>
      <c r="AF304"/>
      <c r="AG304"/>
    </row>
    <row r="305" spans="28:33" s="1" customFormat="1" x14ac:dyDescent="0.3">
      <c r="AB305"/>
      <c r="AC305"/>
      <c r="AD305"/>
      <c r="AE305"/>
      <c r="AF305"/>
      <c r="AG305"/>
    </row>
    <row r="306" spans="28:33" s="1" customFormat="1" x14ac:dyDescent="0.3">
      <c r="AB306"/>
      <c r="AC306"/>
      <c r="AD306"/>
      <c r="AE306"/>
      <c r="AF306"/>
      <c r="AG306"/>
    </row>
    <row r="307" spans="28:33" s="1" customFormat="1" x14ac:dyDescent="0.3">
      <c r="AB307"/>
      <c r="AC307"/>
      <c r="AD307"/>
      <c r="AE307"/>
      <c r="AF307"/>
      <c r="AG307"/>
    </row>
    <row r="308" spans="28:33" s="1" customFormat="1" x14ac:dyDescent="0.3">
      <c r="AB308"/>
      <c r="AC308"/>
      <c r="AD308"/>
      <c r="AE308"/>
      <c r="AF308"/>
      <c r="AG308"/>
    </row>
    <row r="309" spans="28:33" s="1" customFormat="1" x14ac:dyDescent="0.3">
      <c r="AB309"/>
      <c r="AC309"/>
      <c r="AD309"/>
      <c r="AE309"/>
      <c r="AF309"/>
      <c r="AG309"/>
    </row>
    <row r="310" spans="28:33" s="1" customFormat="1" x14ac:dyDescent="0.3">
      <c r="AB310"/>
      <c r="AC310"/>
      <c r="AD310"/>
      <c r="AE310"/>
      <c r="AF310"/>
      <c r="AG310"/>
    </row>
    <row r="311" spans="28:33" s="1" customFormat="1" x14ac:dyDescent="0.3">
      <c r="AB311"/>
      <c r="AC311"/>
      <c r="AD311"/>
      <c r="AE311"/>
      <c r="AF311"/>
      <c r="AG311"/>
    </row>
    <row r="312" spans="28:33" s="1" customFormat="1" x14ac:dyDescent="0.3">
      <c r="AB312"/>
      <c r="AC312"/>
      <c r="AD312"/>
      <c r="AE312"/>
      <c r="AF312"/>
      <c r="AG312"/>
    </row>
    <row r="313" spans="28:33" s="1" customFormat="1" x14ac:dyDescent="0.3">
      <c r="AB313"/>
      <c r="AC313"/>
      <c r="AD313"/>
      <c r="AE313"/>
      <c r="AF313"/>
      <c r="AG313"/>
    </row>
    <row r="314" spans="28:33" s="1" customFormat="1" x14ac:dyDescent="0.3">
      <c r="AB314"/>
      <c r="AC314"/>
      <c r="AD314"/>
      <c r="AE314"/>
      <c r="AF314"/>
      <c r="AG314"/>
    </row>
    <row r="315" spans="28:33" s="1" customFormat="1" x14ac:dyDescent="0.3">
      <c r="AB315"/>
      <c r="AC315"/>
      <c r="AD315"/>
      <c r="AE315"/>
      <c r="AF315"/>
      <c r="AG315"/>
    </row>
    <row r="316" spans="28:33" s="1" customFormat="1" x14ac:dyDescent="0.3">
      <c r="AB316"/>
      <c r="AC316"/>
      <c r="AD316"/>
      <c r="AE316"/>
      <c r="AF316"/>
      <c r="AG316"/>
    </row>
    <row r="317" spans="28:33" s="1" customFormat="1" x14ac:dyDescent="0.3">
      <c r="AB317"/>
      <c r="AC317"/>
      <c r="AD317"/>
      <c r="AE317"/>
      <c r="AF317"/>
      <c r="AG317"/>
    </row>
    <row r="318" spans="28:33" s="1" customFormat="1" x14ac:dyDescent="0.3">
      <c r="AB318"/>
      <c r="AC318"/>
      <c r="AD318"/>
      <c r="AE318"/>
      <c r="AF318"/>
      <c r="AG318"/>
    </row>
    <row r="319" spans="28:33" s="1" customFormat="1" x14ac:dyDescent="0.3">
      <c r="AB319"/>
      <c r="AC319"/>
      <c r="AD319"/>
      <c r="AE319"/>
      <c r="AF319"/>
      <c r="AG319"/>
    </row>
    <row r="320" spans="28:33" s="1" customFormat="1" x14ac:dyDescent="0.3">
      <c r="AB320"/>
      <c r="AC320"/>
      <c r="AD320"/>
      <c r="AE320"/>
      <c r="AF320"/>
      <c r="AG320"/>
    </row>
    <row r="321" spans="28:33" s="1" customFormat="1" x14ac:dyDescent="0.3">
      <c r="AB321"/>
      <c r="AC321"/>
      <c r="AD321"/>
      <c r="AE321"/>
      <c r="AF321"/>
      <c r="AG321"/>
    </row>
    <row r="322" spans="28:33" s="1" customFormat="1" x14ac:dyDescent="0.3">
      <c r="AB322"/>
      <c r="AC322"/>
      <c r="AD322"/>
      <c r="AE322"/>
      <c r="AF322"/>
      <c r="AG322"/>
    </row>
    <row r="323" spans="28:33" s="1" customFormat="1" x14ac:dyDescent="0.3">
      <c r="AB323"/>
      <c r="AC323"/>
      <c r="AD323"/>
      <c r="AE323"/>
      <c r="AF323"/>
      <c r="AG323"/>
    </row>
    <row r="324" spans="28:33" s="1" customFormat="1" x14ac:dyDescent="0.3">
      <c r="AB324"/>
      <c r="AC324"/>
      <c r="AD324"/>
      <c r="AE324"/>
      <c r="AF324"/>
      <c r="AG324"/>
    </row>
    <row r="325" spans="28:33" s="1" customFormat="1" x14ac:dyDescent="0.3">
      <c r="AB325"/>
      <c r="AC325"/>
      <c r="AD325"/>
      <c r="AE325"/>
      <c r="AF325"/>
      <c r="AG325"/>
    </row>
    <row r="326" spans="28:33" s="1" customFormat="1" x14ac:dyDescent="0.3">
      <c r="AB326"/>
      <c r="AC326"/>
      <c r="AD326"/>
      <c r="AE326"/>
      <c r="AF326"/>
      <c r="AG326"/>
    </row>
    <row r="327" spans="28:33" s="1" customFormat="1" x14ac:dyDescent="0.3">
      <c r="AB327"/>
      <c r="AC327"/>
      <c r="AD327"/>
      <c r="AE327"/>
      <c r="AF327"/>
      <c r="AG327"/>
    </row>
    <row r="328" spans="28:33" s="1" customFormat="1" x14ac:dyDescent="0.3">
      <c r="AB328"/>
      <c r="AC328"/>
      <c r="AD328"/>
      <c r="AE328"/>
      <c r="AF328"/>
      <c r="AG328"/>
    </row>
    <row r="329" spans="28:33" s="1" customFormat="1" x14ac:dyDescent="0.3">
      <c r="AB329"/>
      <c r="AC329"/>
      <c r="AD329"/>
      <c r="AE329"/>
      <c r="AF329"/>
      <c r="AG329"/>
    </row>
    <row r="330" spans="28:33" s="1" customFormat="1" x14ac:dyDescent="0.3">
      <c r="AB330"/>
      <c r="AC330"/>
      <c r="AD330"/>
      <c r="AE330"/>
      <c r="AF330"/>
      <c r="AG330"/>
    </row>
    <row r="331" spans="28:33" s="1" customFormat="1" x14ac:dyDescent="0.3">
      <c r="AB331"/>
      <c r="AC331"/>
      <c r="AD331"/>
      <c r="AE331"/>
      <c r="AF331"/>
      <c r="AG331"/>
    </row>
    <row r="332" spans="28:33" s="1" customFormat="1" x14ac:dyDescent="0.3">
      <c r="AB332"/>
      <c r="AC332"/>
      <c r="AD332"/>
      <c r="AE332"/>
      <c r="AF332"/>
      <c r="AG332"/>
    </row>
    <row r="333" spans="28:33" s="1" customFormat="1" x14ac:dyDescent="0.3">
      <c r="AB333"/>
      <c r="AC333"/>
      <c r="AD333"/>
      <c r="AE333"/>
      <c r="AF333"/>
      <c r="AG333"/>
    </row>
    <row r="334" spans="28:33" s="1" customFormat="1" x14ac:dyDescent="0.3">
      <c r="AB334"/>
      <c r="AC334"/>
      <c r="AD334"/>
      <c r="AE334"/>
      <c r="AF334"/>
      <c r="AG334"/>
    </row>
    <row r="335" spans="28:33" s="1" customFormat="1" x14ac:dyDescent="0.3">
      <c r="AB335"/>
      <c r="AC335"/>
      <c r="AD335"/>
      <c r="AE335"/>
      <c r="AF335"/>
      <c r="AG335"/>
    </row>
    <row r="336" spans="28:33" s="1" customFormat="1" x14ac:dyDescent="0.3">
      <c r="AB336"/>
      <c r="AC336"/>
      <c r="AD336"/>
      <c r="AE336"/>
      <c r="AF336"/>
      <c r="AG336"/>
    </row>
    <row r="337" spans="28:33" s="1" customFormat="1" x14ac:dyDescent="0.3">
      <c r="AB337"/>
      <c r="AC337"/>
      <c r="AD337"/>
      <c r="AE337"/>
      <c r="AF337"/>
      <c r="AG337"/>
    </row>
    <row r="338" spans="28:33" s="1" customFormat="1" x14ac:dyDescent="0.3">
      <c r="AB338"/>
      <c r="AC338"/>
      <c r="AD338"/>
      <c r="AE338"/>
      <c r="AF338"/>
      <c r="AG338"/>
    </row>
    <row r="339" spans="28:33" s="1" customFormat="1" x14ac:dyDescent="0.3">
      <c r="AB339"/>
      <c r="AC339"/>
      <c r="AD339"/>
      <c r="AE339"/>
      <c r="AF339"/>
      <c r="AG339"/>
    </row>
    <row r="340" spans="28:33" s="1" customFormat="1" x14ac:dyDescent="0.3">
      <c r="AB340"/>
      <c r="AC340"/>
      <c r="AD340"/>
      <c r="AE340"/>
      <c r="AF340"/>
      <c r="AG340"/>
    </row>
    <row r="341" spans="28:33" s="1" customFormat="1" x14ac:dyDescent="0.3">
      <c r="AB341"/>
      <c r="AC341"/>
      <c r="AD341"/>
      <c r="AE341"/>
      <c r="AF341"/>
      <c r="AG341"/>
    </row>
    <row r="342" spans="28:33" s="1" customFormat="1" x14ac:dyDescent="0.3">
      <c r="AB342"/>
      <c r="AC342"/>
      <c r="AD342"/>
      <c r="AE342"/>
      <c r="AF342"/>
      <c r="AG342"/>
    </row>
    <row r="343" spans="28:33" s="1" customFormat="1" x14ac:dyDescent="0.3">
      <c r="AB343"/>
      <c r="AC343"/>
      <c r="AD343"/>
      <c r="AE343"/>
      <c r="AF343"/>
      <c r="AG343"/>
    </row>
    <row r="344" spans="28:33" s="1" customFormat="1" x14ac:dyDescent="0.3">
      <c r="AB344"/>
      <c r="AC344"/>
      <c r="AD344"/>
      <c r="AE344"/>
      <c r="AF344"/>
      <c r="AG344"/>
    </row>
    <row r="345" spans="28:33" s="1" customFormat="1" x14ac:dyDescent="0.3">
      <c r="AB345"/>
      <c r="AC345"/>
      <c r="AD345"/>
      <c r="AE345"/>
      <c r="AF345"/>
      <c r="AG345"/>
    </row>
    <row r="346" spans="28:33" s="1" customFormat="1" x14ac:dyDescent="0.3">
      <c r="AB346"/>
      <c r="AC346"/>
      <c r="AD346"/>
      <c r="AE346"/>
      <c r="AF346"/>
      <c r="AG346"/>
    </row>
    <row r="347" spans="28:33" s="1" customFormat="1" x14ac:dyDescent="0.3">
      <c r="AB347"/>
      <c r="AC347"/>
      <c r="AD347"/>
      <c r="AE347"/>
      <c r="AF347"/>
      <c r="AG347"/>
    </row>
    <row r="348" spans="28:33" s="1" customFormat="1" x14ac:dyDescent="0.3">
      <c r="AB348"/>
      <c r="AC348"/>
      <c r="AD348"/>
      <c r="AE348"/>
      <c r="AF348"/>
      <c r="AG348"/>
    </row>
    <row r="349" spans="28:33" s="1" customFormat="1" x14ac:dyDescent="0.3">
      <c r="AB349"/>
      <c r="AC349"/>
      <c r="AD349"/>
      <c r="AE349"/>
      <c r="AF349"/>
      <c r="AG349"/>
    </row>
    <row r="350" spans="28:33" s="1" customFormat="1" x14ac:dyDescent="0.3">
      <c r="AB350"/>
      <c r="AC350"/>
      <c r="AD350"/>
      <c r="AE350"/>
      <c r="AF350"/>
      <c r="AG350"/>
    </row>
    <row r="351" spans="28:33" s="1" customFormat="1" x14ac:dyDescent="0.3">
      <c r="AB351"/>
      <c r="AC351"/>
      <c r="AD351"/>
      <c r="AE351"/>
      <c r="AF351"/>
      <c r="AG351"/>
    </row>
    <row r="352" spans="28:33" s="1" customFormat="1" x14ac:dyDescent="0.3">
      <c r="AB352"/>
      <c r="AC352"/>
      <c r="AD352"/>
      <c r="AE352"/>
      <c r="AF352"/>
      <c r="AG352"/>
    </row>
    <row r="353" spans="28:33" s="1" customFormat="1" x14ac:dyDescent="0.3">
      <c r="AB353"/>
      <c r="AC353"/>
      <c r="AD353"/>
      <c r="AE353"/>
      <c r="AF353"/>
      <c r="AG353"/>
    </row>
    <row r="354" spans="28:33" s="1" customFormat="1" x14ac:dyDescent="0.3">
      <c r="AB354"/>
      <c r="AC354"/>
      <c r="AD354"/>
      <c r="AE354"/>
      <c r="AF354"/>
      <c r="AG354"/>
    </row>
    <row r="355" spans="28:33" s="1" customFormat="1" x14ac:dyDescent="0.3">
      <c r="AB355"/>
      <c r="AC355"/>
      <c r="AD355"/>
      <c r="AE355"/>
      <c r="AF355"/>
      <c r="AG355"/>
    </row>
    <row r="356" spans="28:33" s="1" customFormat="1" x14ac:dyDescent="0.3">
      <c r="AB356"/>
      <c r="AC356"/>
      <c r="AD356"/>
      <c r="AE356"/>
      <c r="AF356"/>
      <c r="AG356"/>
    </row>
    <row r="357" spans="28:33" s="1" customFormat="1" x14ac:dyDescent="0.3">
      <c r="AB357"/>
      <c r="AC357"/>
      <c r="AD357"/>
      <c r="AE357"/>
      <c r="AF357"/>
      <c r="AG357"/>
    </row>
    <row r="358" spans="28:33" s="1" customFormat="1" x14ac:dyDescent="0.3">
      <c r="AB358"/>
      <c r="AC358"/>
      <c r="AD358"/>
      <c r="AE358"/>
      <c r="AF358"/>
      <c r="AG358"/>
    </row>
    <row r="359" spans="28:33" s="1" customFormat="1" x14ac:dyDescent="0.3">
      <c r="AB359"/>
      <c r="AC359"/>
      <c r="AD359"/>
      <c r="AE359"/>
      <c r="AF359"/>
      <c r="AG359"/>
    </row>
    <row r="360" spans="28:33" s="1" customFormat="1" x14ac:dyDescent="0.3">
      <c r="AB360"/>
      <c r="AC360"/>
      <c r="AD360"/>
      <c r="AE360"/>
      <c r="AF360"/>
      <c r="AG360"/>
    </row>
    <row r="361" spans="28:33" s="1" customFormat="1" x14ac:dyDescent="0.3">
      <c r="AB361"/>
      <c r="AC361"/>
      <c r="AD361"/>
      <c r="AE361"/>
      <c r="AF361"/>
      <c r="AG361"/>
    </row>
    <row r="362" spans="28:33" s="1" customFormat="1" x14ac:dyDescent="0.3">
      <c r="AB362"/>
      <c r="AC362"/>
      <c r="AD362"/>
      <c r="AE362"/>
      <c r="AF362"/>
      <c r="AG362"/>
    </row>
    <row r="363" spans="28:33" s="1" customFormat="1" x14ac:dyDescent="0.3">
      <c r="AB363"/>
      <c r="AC363"/>
      <c r="AD363"/>
      <c r="AE363"/>
      <c r="AF363"/>
      <c r="AG363"/>
    </row>
    <row r="364" spans="28:33" s="1" customFormat="1" x14ac:dyDescent="0.3">
      <c r="AB364"/>
      <c r="AC364"/>
      <c r="AD364"/>
      <c r="AE364"/>
      <c r="AF364"/>
      <c r="AG364"/>
    </row>
    <row r="365" spans="28:33" s="1" customFormat="1" x14ac:dyDescent="0.3">
      <c r="AB365"/>
      <c r="AC365"/>
      <c r="AD365"/>
      <c r="AE365"/>
      <c r="AF365"/>
      <c r="AG365"/>
    </row>
    <row r="366" spans="28:33" s="1" customFormat="1" x14ac:dyDescent="0.3">
      <c r="AB366"/>
      <c r="AC366"/>
      <c r="AD366"/>
      <c r="AE366"/>
      <c r="AF366"/>
      <c r="AG366"/>
    </row>
    <row r="367" spans="28:33" s="1" customFormat="1" x14ac:dyDescent="0.3">
      <c r="AB367"/>
      <c r="AC367"/>
      <c r="AD367"/>
      <c r="AE367"/>
      <c r="AF367"/>
      <c r="AG367"/>
    </row>
    <row r="368" spans="28:33" s="1" customFormat="1" x14ac:dyDescent="0.3">
      <c r="AB368"/>
      <c r="AC368"/>
      <c r="AD368"/>
      <c r="AE368"/>
      <c r="AF368"/>
      <c r="AG368"/>
    </row>
    <row r="369" spans="28:33" s="1" customFormat="1" x14ac:dyDescent="0.3">
      <c r="AB369"/>
      <c r="AC369"/>
      <c r="AD369"/>
      <c r="AE369"/>
      <c r="AF369"/>
      <c r="AG369"/>
    </row>
    <row r="370" spans="28:33" s="1" customFormat="1" x14ac:dyDescent="0.3">
      <c r="AB370"/>
      <c r="AC370"/>
      <c r="AD370"/>
      <c r="AE370"/>
      <c r="AF370"/>
      <c r="AG370"/>
    </row>
    <row r="371" spans="28:33" s="1" customFormat="1" x14ac:dyDescent="0.3">
      <c r="AB371"/>
      <c r="AC371"/>
      <c r="AD371"/>
      <c r="AE371"/>
      <c r="AF371"/>
      <c r="AG371"/>
    </row>
    <row r="372" spans="28:33" s="1" customFormat="1" x14ac:dyDescent="0.3">
      <c r="AB372"/>
      <c r="AC372"/>
      <c r="AD372"/>
      <c r="AE372"/>
      <c r="AF372"/>
      <c r="AG372"/>
    </row>
    <row r="373" spans="28:33" s="1" customFormat="1" x14ac:dyDescent="0.3">
      <c r="AB373"/>
      <c r="AC373"/>
      <c r="AD373"/>
      <c r="AE373"/>
      <c r="AF373"/>
      <c r="AG373"/>
    </row>
    <row r="374" spans="28:33" s="1" customFormat="1" x14ac:dyDescent="0.3">
      <c r="AB374"/>
      <c r="AC374"/>
      <c r="AD374"/>
      <c r="AE374"/>
      <c r="AF374"/>
      <c r="AG374"/>
    </row>
    <row r="375" spans="28:33" s="1" customFormat="1" x14ac:dyDescent="0.3">
      <c r="AB375"/>
      <c r="AC375"/>
      <c r="AD375"/>
      <c r="AE375"/>
      <c r="AF375"/>
      <c r="AG375"/>
    </row>
    <row r="376" spans="28:33" s="1" customFormat="1" x14ac:dyDescent="0.3">
      <c r="AB376"/>
      <c r="AC376"/>
      <c r="AD376"/>
      <c r="AE376"/>
      <c r="AF376"/>
      <c r="AG376"/>
    </row>
    <row r="377" spans="28:33" s="1" customFormat="1" x14ac:dyDescent="0.3">
      <c r="AB377"/>
      <c r="AC377"/>
      <c r="AD377"/>
      <c r="AE377"/>
      <c r="AF377"/>
      <c r="AG377"/>
    </row>
    <row r="378" spans="28:33" s="1" customFormat="1" x14ac:dyDescent="0.3">
      <c r="AB378"/>
      <c r="AC378"/>
      <c r="AD378"/>
      <c r="AE378"/>
      <c r="AF378"/>
      <c r="AG378"/>
    </row>
    <row r="379" spans="28:33" s="1" customFormat="1" x14ac:dyDescent="0.3">
      <c r="AB379"/>
      <c r="AC379"/>
      <c r="AD379"/>
      <c r="AE379"/>
      <c r="AF379"/>
      <c r="AG379"/>
    </row>
    <row r="380" spans="28:33" s="1" customFormat="1" x14ac:dyDescent="0.3">
      <c r="AB380"/>
      <c r="AC380"/>
      <c r="AD380"/>
      <c r="AE380"/>
      <c r="AF380"/>
      <c r="AG380"/>
    </row>
    <row r="381" spans="28:33" s="1" customFormat="1" x14ac:dyDescent="0.3">
      <c r="AB381"/>
      <c r="AC381"/>
      <c r="AD381"/>
      <c r="AE381"/>
      <c r="AF381"/>
      <c r="AG381"/>
    </row>
    <row r="382" spans="28:33" s="1" customFormat="1" x14ac:dyDescent="0.3">
      <c r="AB382"/>
      <c r="AC382"/>
      <c r="AD382"/>
      <c r="AE382"/>
      <c r="AF382"/>
      <c r="AG382"/>
    </row>
    <row r="383" spans="28:33" s="1" customFormat="1" x14ac:dyDescent="0.3">
      <c r="AB383"/>
      <c r="AC383"/>
      <c r="AD383"/>
      <c r="AE383"/>
      <c r="AF383"/>
      <c r="AG383"/>
    </row>
    <row r="384" spans="28:33" s="1" customFormat="1" x14ac:dyDescent="0.3">
      <c r="AB384"/>
      <c r="AC384"/>
      <c r="AD384"/>
      <c r="AE384"/>
      <c r="AF384"/>
      <c r="AG384"/>
    </row>
    <row r="385" spans="28:33" s="1" customFormat="1" x14ac:dyDescent="0.3">
      <c r="AB385"/>
      <c r="AC385"/>
      <c r="AD385"/>
      <c r="AE385"/>
      <c r="AF385"/>
      <c r="AG385"/>
    </row>
    <row r="386" spans="28:33" s="1" customFormat="1" x14ac:dyDescent="0.3">
      <c r="AB386"/>
      <c r="AC386"/>
      <c r="AD386"/>
      <c r="AE386"/>
      <c r="AF386"/>
      <c r="AG386"/>
    </row>
    <row r="387" spans="28:33" s="1" customFormat="1" x14ac:dyDescent="0.3">
      <c r="AB387"/>
      <c r="AC387"/>
      <c r="AD387"/>
      <c r="AE387"/>
      <c r="AF387"/>
      <c r="AG387"/>
    </row>
    <row r="388" spans="28:33" s="1" customFormat="1" x14ac:dyDescent="0.3">
      <c r="AB388"/>
      <c r="AC388"/>
      <c r="AD388"/>
      <c r="AE388"/>
      <c r="AF388"/>
      <c r="AG388"/>
    </row>
    <row r="389" spans="28:33" s="1" customFormat="1" x14ac:dyDescent="0.3">
      <c r="AB389"/>
      <c r="AC389"/>
      <c r="AD389"/>
      <c r="AE389"/>
      <c r="AF389"/>
      <c r="AG389"/>
    </row>
    <row r="390" spans="28:33" s="1" customFormat="1" x14ac:dyDescent="0.3">
      <c r="AB390"/>
      <c r="AC390"/>
      <c r="AD390"/>
      <c r="AE390"/>
      <c r="AF390"/>
      <c r="AG390"/>
    </row>
    <row r="391" spans="28:33" s="1" customFormat="1" x14ac:dyDescent="0.3">
      <c r="AB391"/>
      <c r="AC391"/>
      <c r="AD391"/>
      <c r="AE391"/>
      <c r="AF391"/>
      <c r="AG391"/>
    </row>
    <row r="392" spans="28:33" s="1" customFormat="1" x14ac:dyDescent="0.3">
      <c r="AB392"/>
      <c r="AC392"/>
      <c r="AD392"/>
      <c r="AE392"/>
      <c r="AF392"/>
      <c r="AG392"/>
    </row>
    <row r="393" spans="28:33" s="1" customFormat="1" x14ac:dyDescent="0.3">
      <c r="AB393"/>
      <c r="AC393"/>
      <c r="AD393"/>
      <c r="AE393"/>
      <c r="AF393"/>
      <c r="AG393"/>
    </row>
    <row r="394" spans="28:33" s="1" customFormat="1" x14ac:dyDescent="0.3">
      <c r="AB394"/>
      <c r="AC394"/>
      <c r="AD394"/>
      <c r="AE394"/>
      <c r="AF394"/>
      <c r="AG394"/>
    </row>
    <row r="395" spans="28:33" s="1" customFormat="1" x14ac:dyDescent="0.3">
      <c r="AB395"/>
      <c r="AC395"/>
      <c r="AD395"/>
      <c r="AE395"/>
      <c r="AF395"/>
      <c r="AG395"/>
    </row>
    <row r="396" spans="28:33" s="1" customFormat="1" x14ac:dyDescent="0.3">
      <c r="AB396"/>
      <c r="AC396"/>
      <c r="AD396"/>
      <c r="AE396"/>
      <c r="AF396"/>
      <c r="AG396"/>
    </row>
    <row r="397" spans="28:33" s="1" customFormat="1" x14ac:dyDescent="0.3">
      <c r="AB397"/>
      <c r="AC397"/>
      <c r="AD397"/>
      <c r="AE397"/>
      <c r="AF397"/>
      <c r="AG397"/>
    </row>
    <row r="398" spans="28:33" s="1" customFormat="1" x14ac:dyDescent="0.3">
      <c r="AB398"/>
      <c r="AC398"/>
      <c r="AD398"/>
      <c r="AE398"/>
      <c r="AF398"/>
      <c r="AG398"/>
    </row>
    <row r="399" spans="28:33" s="1" customFormat="1" x14ac:dyDescent="0.3">
      <c r="AB399"/>
      <c r="AC399"/>
      <c r="AD399"/>
      <c r="AE399"/>
      <c r="AF399"/>
      <c r="AG399"/>
    </row>
    <row r="400" spans="28:33" s="1" customFormat="1" x14ac:dyDescent="0.3">
      <c r="AB400"/>
      <c r="AC400"/>
      <c r="AD400"/>
      <c r="AE400"/>
      <c r="AF400"/>
      <c r="AG400"/>
    </row>
    <row r="401" spans="28:33" s="1" customFormat="1" x14ac:dyDescent="0.3">
      <c r="AB401"/>
      <c r="AC401"/>
      <c r="AD401"/>
      <c r="AE401"/>
      <c r="AF401"/>
      <c r="AG401"/>
    </row>
    <row r="402" spans="28:33" s="1" customFormat="1" x14ac:dyDescent="0.3">
      <c r="AB402"/>
      <c r="AC402"/>
      <c r="AD402"/>
      <c r="AE402"/>
      <c r="AF402"/>
      <c r="AG402"/>
    </row>
    <row r="403" spans="28:33" s="1" customFormat="1" x14ac:dyDescent="0.3">
      <c r="AB403"/>
      <c r="AC403"/>
      <c r="AD403"/>
      <c r="AE403"/>
      <c r="AF403"/>
      <c r="AG403"/>
    </row>
    <row r="404" spans="28:33" s="1" customFormat="1" x14ac:dyDescent="0.3">
      <c r="AB404"/>
      <c r="AC404"/>
      <c r="AD404"/>
      <c r="AE404"/>
      <c r="AF404"/>
      <c r="AG404"/>
    </row>
    <row r="405" spans="28:33" s="1" customFormat="1" x14ac:dyDescent="0.3">
      <c r="AB405"/>
      <c r="AC405"/>
      <c r="AD405"/>
      <c r="AE405"/>
      <c r="AF405"/>
      <c r="AG405"/>
    </row>
    <row r="406" spans="28:33" s="1" customFormat="1" x14ac:dyDescent="0.3">
      <c r="AB406"/>
      <c r="AC406"/>
      <c r="AD406"/>
      <c r="AE406"/>
      <c r="AF406"/>
      <c r="AG406"/>
    </row>
    <row r="407" spans="28:33" s="1" customFormat="1" x14ac:dyDescent="0.3">
      <c r="AB407"/>
      <c r="AC407"/>
      <c r="AD407"/>
      <c r="AE407"/>
      <c r="AF407"/>
      <c r="AG407"/>
    </row>
    <row r="408" spans="28:33" s="1" customFormat="1" x14ac:dyDescent="0.3">
      <c r="AB408"/>
      <c r="AC408"/>
      <c r="AD408"/>
      <c r="AE408"/>
      <c r="AF408"/>
      <c r="AG408"/>
    </row>
    <row r="409" spans="28:33" s="1" customFormat="1" x14ac:dyDescent="0.3">
      <c r="AB409"/>
      <c r="AC409"/>
      <c r="AD409"/>
      <c r="AE409"/>
      <c r="AF409"/>
      <c r="AG409"/>
    </row>
    <row r="410" spans="28:33" s="1" customFormat="1" x14ac:dyDescent="0.3">
      <c r="AB410"/>
      <c r="AC410"/>
      <c r="AD410"/>
      <c r="AE410"/>
      <c r="AF410"/>
      <c r="AG410"/>
    </row>
    <row r="411" spans="28:33" s="1" customFormat="1" x14ac:dyDescent="0.3">
      <c r="AB411"/>
      <c r="AC411"/>
      <c r="AD411"/>
      <c r="AE411"/>
      <c r="AF411"/>
      <c r="AG411"/>
    </row>
    <row r="412" spans="28:33" s="1" customFormat="1" x14ac:dyDescent="0.3">
      <c r="AB412"/>
      <c r="AC412"/>
      <c r="AD412"/>
      <c r="AE412"/>
      <c r="AF412"/>
      <c r="AG412"/>
    </row>
    <row r="413" spans="28:33" s="1" customFormat="1" x14ac:dyDescent="0.3">
      <c r="AB413"/>
      <c r="AC413"/>
      <c r="AD413"/>
      <c r="AE413"/>
      <c r="AF413"/>
      <c r="AG413"/>
    </row>
    <row r="414" spans="28:33" s="1" customFormat="1" x14ac:dyDescent="0.3">
      <c r="AB414"/>
      <c r="AC414"/>
      <c r="AD414"/>
      <c r="AE414"/>
      <c r="AF414"/>
      <c r="AG414"/>
    </row>
    <row r="415" spans="28:33" s="1" customFormat="1" x14ac:dyDescent="0.3">
      <c r="AB415"/>
      <c r="AC415"/>
      <c r="AD415"/>
      <c r="AE415"/>
      <c r="AF415"/>
      <c r="AG415"/>
    </row>
    <row r="416" spans="28:33" s="1" customFormat="1" x14ac:dyDescent="0.3">
      <c r="AB416"/>
      <c r="AC416"/>
      <c r="AD416"/>
      <c r="AE416"/>
      <c r="AF416"/>
      <c r="AG416"/>
    </row>
    <row r="417" spans="28:33" s="1" customFormat="1" x14ac:dyDescent="0.3">
      <c r="AB417"/>
      <c r="AC417"/>
      <c r="AD417"/>
      <c r="AE417"/>
      <c r="AF417"/>
      <c r="AG417"/>
    </row>
    <row r="418" spans="28:33" s="1" customFormat="1" x14ac:dyDescent="0.3">
      <c r="AB418"/>
      <c r="AC418"/>
      <c r="AD418"/>
      <c r="AE418"/>
      <c r="AF418"/>
      <c r="AG418"/>
    </row>
    <row r="419" spans="28:33" s="1" customFormat="1" x14ac:dyDescent="0.3">
      <c r="AB419"/>
      <c r="AC419"/>
      <c r="AD419"/>
      <c r="AE419"/>
      <c r="AF419"/>
      <c r="AG419"/>
    </row>
    <row r="420" spans="28:33" s="1" customFormat="1" x14ac:dyDescent="0.3">
      <c r="AB420"/>
      <c r="AC420"/>
      <c r="AD420"/>
      <c r="AE420"/>
      <c r="AF420"/>
      <c r="AG420"/>
    </row>
    <row r="421" spans="28:33" s="1" customFormat="1" x14ac:dyDescent="0.3">
      <c r="AB421"/>
      <c r="AC421"/>
      <c r="AD421"/>
      <c r="AE421"/>
      <c r="AF421"/>
      <c r="AG421"/>
    </row>
    <row r="422" spans="28:33" s="1" customFormat="1" x14ac:dyDescent="0.3">
      <c r="AB422"/>
      <c r="AC422"/>
      <c r="AD422"/>
      <c r="AE422"/>
      <c r="AF422"/>
      <c r="AG422"/>
    </row>
    <row r="423" spans="28:33" s="1" customFormat="1" x14ac:dyDescent="0.3">
      <c r="AB423"/>
      <c r="AC423"/>
      <c r="AD423"/>
      <c r="AE423"/>
      <c r="AF423"/>
      <c r="AG423"/>
    </row>
  </sheetData>
  <autoFilter ref="B20:C42" xr:uid="{F65D7F60-7EDC-4C63-9282-D1C45595C59B}"/>
  <mergeCells count="5">
    <mergeCell ref="B15:G15"/>
    <mergeCell ref="B16:G16"/>
    <mergeCell ref="B17:G17"/>
    <mergeCell ref="B18:G18"/>
    <mergeCell ref="B19:G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BalanceMensual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Arboleda Vergara</dc:creator>
  <cp:lastModifiedBy>Hernan Arboleda Vergara</cp:lastModifiedBy>
  <dcterms:created xsi:type="dcterms:W3CDTF">2026-04-23T20:13:41Z</dcterms:created>
  <dcterms:modified xsi:type="dcterms:W3CDTF">2026-04-23T20:32:03Z</dcterms:modified>
</cp:coreProperties>
</file>