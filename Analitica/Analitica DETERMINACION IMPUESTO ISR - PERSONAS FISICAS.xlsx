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System\GeneradorReportesX\Analitica\"/>
    </mc:Choice>
  </mc:AlternateContent>
  <xr:revisionPtr revIDLastSave="0" documentId="13_ncr:1_{EEBE6289-E43F-49AE-A44A-F708F926ED56}" xr6:coauthVersionLast="47" xr6:coauthVersionMax="47" xr10:uidLastSave="{00000000-0000-0000-0000-000000000000}"/>
  <bookViews>
    <workbookView xWindow="-108" yWindow="-108" windowWidth="23256" windowHeight="12456" xr2:uid="{EFA2469E-CB0E-40B3-99F1-D5D27FB4C933}"/>
  </bookViews>
  <sheets>
    <sheet name="ISR-Fisica" sheetId="7" r:id="rId1"/>
  </sheets>
  <externalReferences>
    <externalReference r:id="rId2"/>
  </externalReferences>
  <definedNames>
    <definedName name="_xlnm.Print_Area" localSheetId="0">'ISR-Fisica'!$B$19:$P$83</definedName>
    <definedName name="_xlnm.Print_Titles" localSheetId="0">'ISR-Fisica'!#REF!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9" i="7" l="1"/>
  <c r="N58" i="7"/>
  <c r="K45" i="7"/>
  <c r="N21" i="7"/>
  <c r="K63" i="7"/>
  <c r="K55" i="7"/>
  <c r="O53" i="7"/>
  <c r="G21" i="7"/>
  <c r="D53" i="7"/>
  <c r="H67" i="7"/>
  <c r="O63" i="7"/>
  <c r="H76" i="7"/>
  <c r="K24" i="7"/>
  <c r="M35" i="7"/>
  <c r="I76" i="7"/>
  <c r="L38" i="7"/>
  <c r="D54" i="7"/>
  <c r="L69" i="7"/>
  <c r="I43" i="7"/>
  <c r="I69" i="7"/>
  <c r="N43" i="7"/>
  <c r="J33" i="7"/>
  <c r="H55" i="7"/>
  <c r="O69" i="7"/>
  <c r="E66" i="7"/>
  <c r="G52" i="7"/>
  <c r="K42" i="7"/>
  <c r="J44" i="7"/>
  <c r="O24" i="7"/>
  <c r="E63" i="7"/>
  <c r="J54" i="7"/>
  <c r="L70" i="7"/>
  <c r="H21" i="7"/>
  <c r="D67" i="7"/>
  <c r="D44" i="7"/>
  <c r="G24" i="7"/>
  <c r="N33" i="7"/>
  <c r="K47" i="7"/>
  <c r="G69" i="7"/>
  <c r="I53" i="7"/>
  <c r="G43" i="7"/>
  <c r="N24" i="7"/>
  <c r="K70" i="7"/>
  <c r="J52" i="7"/>
  <c r="M54" i="7"/>
  <c r="D61" i="7"/>
  <c r="K61" i="7"/>
  <c r="D65" i="7"/>
  <c r="L67" i="7"/>
  <c r="E40" i="7"/>
  <c r="M76" i="7"/>
  <c r="L48" i="7"/>
  <c r="O58" i="7"/>
  <c r="G55" i="7"/>
  <c r="O64" i="7"/>
  <c r="E33" i="7"/>
  <c r="J39" i="7"/>
  <c r="L58" i="7"/>
  <c r="N60" i="7"/>
  <c r="G58" i="7"/>
  <c r="L44" i="7"/>
  <c r="J53" i="7"/>
  <c r="I22" i="7"/>
  <c r="I36" i="7"/>
  <c r="F40" i="7"/>
  <c r="J65" i="7"/>
  <c r="E55" i="7"/>
  <c r="M63" i="7"/>
  <c r="G36" i="7"/>
  <c r="M70" i="7"/>
  <c r="K67" i="7"/>
  <c r="D35" i="7"/>
  <c r="M62" i="7"/>
  <c r="D60" i="7"/>
  <c r="F32" i="7"/>
  <c r="M55" i="7"/>
  <c r="F35" i="7"/>
  <c r="L65" i="7"/>
  <c r="L61" i="7"/>
  <c r="L76" i="7"/>
  <c r="I37" i="7"/>
  <c r="K53" i="7"/>
  <c r="H62" i="7"/>
  <c r="M48" i="7"/>
  <c r="M65" i="7"/>
  <c r="N35" i="7"/>
  <c r="H58" i="7"/>
  <c r="E36" i="7"/>
  <c r="J21" i="7"/>
  <c r="L49" i="7"/>
  <c r="K21" i="7"/>
  <c r="J36" i="7"/>
  <c r="H65" i="7"/>
  <c r="E51" i="7"/>
  <c r="G65" i="7"/>
  <c r="F65" i="7"/>
  <c r="H37" i="7"/>
  <c r="J60" i="7"/>
  <c r="I59" i="7"/>
  <c r="E50" i="7"/>
  <c r="O49" i="7"/>
  <c r="O62" i="7"/>
  <c r="M64" i="7"/>
  <c r="I66" i="7"/>
  <c r="O70" i="7"/>
  <c r="M41" i="7"/>
  <c r="G41" i="7"/>
  <c r="O21" i="7"/>
  <c r="H23" i="7"/>
  <c r="D70" i="7"/>
  <c r="J37" i="7"/>
  <c r="F36" i="7"/>
  <c r="O76" i="7"/>
  <c r="G46" i="7"/>
  <c r="L45" i="7"/>
  <c r="F63" i="7"/>
  <c r="M61" i="7"/>
  <c r="N22" i="7"/>
  <c r="F34" i="7"/>
  <c r="I41" i="7"/>
  <c r="G54" i="7"/>
  <c r="E76" i="7"/>
  <c r="I21" i="7"/>
  <c r="O51" i="7"/>
  <c r="I57" i="7"/>
  <c r="B14" i="7"/>
  <c r="O50" i="7"/>
  <c r="F39" i="7"/>
  <c r="N37" i="7"/>
  <c r="D51" i="7"/>
  <c r="M34" i="7"/>
  <c r="K76" i="7"/>
  <c r="M53" i="7"/>
  <c r="G62" i="7"/>
  <c r="D55" i="7"/>
  <c r="H51" i="7"/>
  <c r="O42" i="7"/>
  <c r="J51" i="7"/>
  <c r="N53" i="7"/>
  <c r="D41" i="7"/>
  <c r="D56" i="7"/>
  <c r="I54" i="7"/>
  <c r="O39" i="7"/>
  <c r="F50" i="7"/>
  <c r="J46" i="7"/>
  <c r="D22" i="7"/>
  <c r="O41" i="7"/>
  <c r="N47" i="7"/>
  <c r="F54" i="7"/>
  <c r="H36" i="7"/>
  <c r="O40" i="7"/>
  <c r="N34" i="7"/>
  <c r="N68" i="7"/>
  <c r="M36" i="7"/>
  <c r="I32" i="7"/>
  <c r="G60" i="7"/>
  <c r="J49" i="7"/>
  <c r="I23" i="7"/>
  <c r="E56" i="7"/>
  <c r="D49" i="7"/>
  <c r="H43" i="7"/>
  <c r="I63" i="7"/>
  <c r="F37" i="7"/>
  <c r="E45" i="7"/>
  <c r="F70" i="7"/>
  <c r="O32" i="7"/>
  <c r="H53" i="7"/>
  <c r="E23" i="7"/>
  <c r="D76" i="7"/>
  <c r="L64" i="7"/>
  <c r="N23" i="7"/>
  <c r="G56" i="7"/>
  <c r="M56" i="7"/>
  <c r="H41" i="7"/>
  <c r="I49" i="7"/>
  <c r="E35" i="7"/>
  <c r="I55" i="7"/>
  <c r="F38" i="7"/>
  <c r="F64" i="7"/>
  <c r="I45" i="7"/>
  <c r="L24" i="7"/>
  <c r="E67" i="7"/>
  <c r="K62" i="7"/>
  <c r="N50" i="7"/>
  <c r="K49" i="7"/>
  <c r="I67" i="7"/>
  <c r="D68" i="7"/>
  <c r="E41" i="7"/>
  <c r="M43" i="7"/>
  <c r="L23" i="7"/>
  <c r="E53" i="7"/>
  <c r="H34" i="7"/>
  <c r="I52" i="7"/>
  <c r="L21" i="7"/>
  <c r="N39" i="7"/>
  <c r="E24" i="7"/>
  <c r="L37" i="7"/>
  <c r="D23" i="7"/>
  <c r="H52" i="7"/>
  <c r="K60" i="7"/>
  <c r="L53" i="7"/>
  <c r="M51" i="7"/>
  <c r="H32" i="7"/>
  <c r="G23" i="7"/>
  <c r="K36" i="7"/>
  <c r="J56" i="7"/>
  <c r="O54" i="7"/>
  <c r="G32" i="7"/>
  <c r="F47" i="7"/>
  <c r="K40" i="7"/>
  <c r="F42" i="7"/>
  <c r="G35" i="7"/>
  <c r="I42" i="7"/>
  <c r="H57" i="7"/>
  <c r="G38" i="7"/>
  <c r="D62" i="7"/>
  <c r="L35" i="7"/>
  <c r="M32" i="7"/>
  <c r="N56" i="7"/>
  <c r="M45" i="7"/>
  <c r="O46" i="7"/>
  <c r="M50" i="7"/>
  <c r="F61" i="7"/>
  <c r="E70" i="7"/>
  <c r="D45" i="7"/>
  <c r="G50" i="7"/>
  <c r="M57" i="7"/>
  <c r="F43" i="7"/>
  <c r="H59" i="7"/>
  <c r="K64" i="7"/>
  <c r="G59" i="7"/>
  <c r="L43" i="7"/>
  <c r="I58" i="7"/>
  <c r="I46" i="7"/>
  <c r="E48" i="7"/>
  <c r="K57" i="7"/>
  <c r="K38" i="7"/>
  <c r="F68" i="7"/>
  <c r="L36" i="7"/>
  <c r="I56" i="7"/>
  <c r="K66" i="7"/>
  <c r="H69" i="7"/>
  <c r="J76" i="7"/>
  <c r="K50" i="7"/>
  <c r="E69" i="7"/>
  <c r="H50" i="7"/>
  <c r="I68" i="7"/>
  <c r="D38" i="7"/>
  <c r="D36" i="7"/>
  <c r="F66" i="7"/>
  <c r="F48" i="7"/>
  <c r="H48" i="7"/>
  <c r="D64" i="7"/>
  <c r="M40" i="7"/>
  <c r="G40" i="7"/>
  <c r="L33" i="7"/>
  <c r="I39" i="7"/>
  <c r="F44" i="7"/>
  <c r="D34" i="7"/>
  <c r="M21" i="7"/>
  <c r="K65" i="7"/>
  <c r="N65" i="7"/>
  <c r="F46" i="7"/>
  <c r="G64" i="7"/>
  <c r="O61" i="7"/>
  <c r="I70" i="7"/>
  <c r="F55" i="7"/>
  <c r="F52" i="7"/>
  <c r="E64" i="7"/>
  <c r="I35" i="7"/>
  <c r="M52" i="7"/>
  <c r="D43" i="7"/>
  <c r="G47" i="7"/>
  <c r="N51" i="7"/>
  <c r="I50" i="7"/>
  <c r="L62" i="7"/>
  <c r="E65" i="7"/>
  <c r="I65" i="7"/>
  <c r="G51" i="7"/>
  <c r="H56" i="7"/>
  <c r="L47" i="7"/>
  <c r="G42" i="7"/>
  <c r="H66" i="7"/>
  <c r="J55" i="7"/>
  <c r="H63" i="7"/>
  <c r="J64" i="7"/>
  <c r="F24" i="7"/>
  <c r="N70" i="7"/>
  <c r="J45" i="7"/>
  <c r="O48" i="7"/>
  <c r="J62" i="7"/>
  <c r="H44" i="7"/>
  <c r="E54" i="7"/>
  <c r="F67" i="7"/>
  <c r="J24" i="7"/>
  <c r="J34" i="7"/>
  <c r="D48" i="7"/>
  <c r="F49" i="7"/>
  <c r="K37" i="7"/>
  <c r="O33" i="7"/>
  <c r="O67" i="7"/>
  <c r="I38" i="7"/>
  <c r="H61" i="7"/>
  <c r="M68" i="7"/>
  <c r="H45" i="7"/>
  <c r="F41" i="7"/>
  <c r="N44" i="7"/>
  <c r="L56" i="7"/>
  <c r="J69" i="7"/>
  <c r="J66" i="7"/>
  <c r="L59" i="7"/>
  <c r="O57" i="7"/>
  <c r="H70" i="7"/>
  <c r="M39" i="7"/>
  <c r="M44" i="7"/>
  <c r="L22" i="7"/>
  <c r="K35" i="7"/>
  <c r="F69" i="7"/>
  <c r="J35" i="7"/>
  <c r="M49" i="7"/>
  <c r="L66" i="7"/>
  <c r="K39" i="7"/>
  <c r="M67" i="7"/>
  <c r="N49" i="7"/>
  <c r="I61" i="7"/>
  <c r="O23" i="7"/>
  <c r="H54" i="7"/>
  <c r="M47" i="7"/>
  <c r="O56" i="7"/>
  <c r="O35" i="7"/>
  <c r="I40" i="7"/>
  <c r="E59" i="7"/>
  <c r="E57" i="7"/>
  <c r="G39" i="7"/>
  <c r="N40" i="7"/>
  <c r="J70" i="7"/>
  <c r="D50" i="7"/>
  <c r="K43" i="7"/>
  <c r="E52" i="7"/>
  <c r="K22" i="7"/>
  <c r="M38" i="7"/>
  <c r="L32" i="7"/>
  <c r="H35" i="7"/>
  <c r="K33" i="7"/>
  <c r="E38" i="7"/>
  <c r="D37" i="7"/>
  <c r="N63" i="7"/>
  <c r="E58" i="7"/>
  <c r="H42" i="7"/>
  <c r="F58" i="7"/>
  <c r="I33" i="7"/>
  <c r="D42" i="7"/>
  <c r="K48" i="7"/>
  <c r="O66" i="7"/>
  <c r="M60" i="7"/>
  <c r="G45" i="7"/>
  <c r="J48" i="7"/>
  <c r="F22" i="7"/>
  <c r="L40" i="7"/>
  <c r="O43" i="7"/>
  <c r="G49" i="7"/>
  <c r="H22" i="7"/>
  <c r="J41" i="7"/>
  <c r="E68" i="7"/>
  <c r="F57" i="7"/>
  <c r="E43" i="7"/>
  <c r="J42" i="7"/>
  <c r="J59" i="7"/>
  <c r="O45" i="7"/>
  <c r="D32" i="7"/>
  <c r="F56" i="7"/>
  <c r="K54" i="7"/>
  <c r="J32" i="7"/>
  <c r="D58" i="7"/>
  <c r="G22" i="7"/>
  <c r="J57" i="7"/>
  <c r="K34" i="7"/>
  <c r="F33" i="7"/>
  <c r="G53" i="7"/>
  <c r="N41" i="7"/>
  <c r="D59" i="7"/>
  <c r="L57" i="7"/>
  <c r="O59" i="7"/>
  <c r="I44" i="7"/>
  <c r="D46" i="7"/>
  <c r="K32" i="7"/>
  <c r="N61" i="7"/>
  <c r="D47" i="7"/>
  <c r="D52" i="7"/>
  <c r="L51" i="7"/>
  <c r="G34" i="7"/>
  <c r="L68" i="7"/>
  <c r="K56" i="7"/>
  <c r="E34" i="7"/>
  <c r="G57" i="7"/>
  <c r="E22" i="7"/>
  <c r="N42" i="7"/>
  <c r="G44" i="7"/>
  <c r="K51" i="7"/>
  <c r="E62" i="7"/>
  <c r="K46" i="7"/>
  <c r="F45" i="7"/>
  <c r="N46" i="7"/>
  <c r="I64" i="7"/>
  <c r="H38" i="7"/>
  <c r="H33" i="7"/>
  <c r="I34" i="7"/>
  <c r="O52" i="7"/>
  <c r="E44" i="7"/>
  <c r="M42" i="7"/>
  <c r="N38" i="7"/>
  <c r="H68" i="7"/>
  <c r="F53" i="7"/>
  <c r="L55" i="7"/>
  <c r="H47" i="7"/>
  <c r="M24" i="7"/>
  <c r="E42" i="7"/>
  <c r="J50" i="7"/>
  <c r="H40" i="7"/>
  <c r="D63" i="7"/>
  <c r="O38" i="7"/>
  <c r="G33" i="7"/>
  <c r="K58" i="7"/>
  <c r="G63" i="7"/>
  <c r="M22" i="7"/>
  <c r="L50" i="7"/>
  <c r="M46" i="7"/>
  <c r="G37" i="7"/>
  <c r="M59" i="7"/>
  <c r="K23" i="7"/>
  <c r="D21" i="7"/>
  <c r="O55" i="7"/>
  <c r="I62" i="7"/>
  <c r="H39" i="7"/>
  <c r="J47" i="7"/>
  <c r="L39" i="7"/>
  <c r="L46" i="7"/>
  <c r="M69" i="7"/>
  <c r="N54" i="7"/>
  <c r="E61" i="7"/>
  <c r="I60" i="7"/>
  <c r="N52" i="7"/>
  <c r="N67" i="7"/>
  <c r="L42" i="7"/>
  <c r="G68" i="7"/>
  <c r="I48" i="7"/>
  <c r="F59" i="7"/>
  <c r="N69" i="7"/>
  <c r="L60" i="7"/>
  <c r="J23" i="7"/>
  <c r="J58" i="7"/>
  <c r="G61" i="7"/>
  <c r="I24" i="7"/>
  <c r="D24" i="7"/>
  <c r="G76" i="7"/>
  <c r="E21" i="7"/>
  <c r="E49" i="7"/>
  <c r="N57" i="7"/>
  <c r="F23" i="7"/>
  <c r="L34" i="7"/>
  <c r="K68" i="7"/>
  <c r="O36" i="7"/>
  <c r="J63" i="7"/>
  <c r="E39" i="7"/>
  <c r="G70" i="7"/>
  <c r="F76" i="7"/>
  <c r="J43" i="7"/>
  <c r="G66" i="7"/>
  <c r="J68" i="7"/>
  <c r="N62" i="7"/>
  <c r="E60" i="7"/>
  <c r="M58" i="7"/>
  <c r="N64" i="7"/>
  <c r="O68" i="7"/>
  <c r="D69" i="7"/>
  <c r="J38" i="7"/>
  <c r="N59" i="7"/>
  <c r="O60" i="7"/>
  <c r="H49" i="7"/>
  <c r="L52" i="7"/>
  <c r="F60" i="7"/>
  <c r="O34" i="7"/>
  <c r="E32" i="7"/>
  <c r="J22" i="7"/>
  <c r="D33" i="7"/>
  <c r="N55" i="7"/>
  <c r="F51" i="7"/>
  <c r="O47" i="7"/>
  <c r="E47" i="7"/>
  <c r="N76" i="7"/>
  <c r="K59" i="7"/>
  <c r="K69" i="7"/>
  <c r="O44" i="7"/>
  <c r="N36" i="7"/>
  <c r="N32" i="7"/>
  <c r="J40" i="7"/>
  <c r="L41" i="7"/>
  <c r="H46" i="7"/>
  <c r="G67" i="7"/>
  <c r="E37" i="7"/>
  <c r="K41" i="7"/>
  <c r="G48" i="7"/>
  <c r="H64" i="7"/>
  <c r="M37" i="7"/>
  <c r="O37" i="7"/>
  <c r="K44" i="7"/>
  <c r="J61" i="7"/>
  <c r="E46" i="7"/>
  <c r="D66" i="7"/>
  <c r="H60" i="7"/>
  <c r="N48" i="7"/>
  <c r="O65" i="7"/>
  <c r="F21" i="7"/>
  <c r="D40" i="7"/>
  <c r="J67" i="7"/>
  <c r="M66" i="7"/>
  <c r="K52" i="7"/>
  <c r="N66" i="7"/>
  <c r="D39" i="7"/>
  <c r="M23" i="7"/>
  <c r="L63" i="7"/>
  <c r="L54" i="7"/>
  <c r="I51" i="7"/>
  <c r="M33" i="7"/>
  <c r="I47" i="7"/>
  <c r="F62" i="7"/>
  <c r="D57" i="7"/>
  <c r="O22" i="7"/>
  <c r="N45" i="7"/>
  <c r="H24" i="7"/>
  <c r="P34" i="7" l="1"/>
  <c r="N31" i="7"/>
  <c r="P35" i="7"/>
  <c r="F31" i="7"/>
  <c r="K31" i="7"/>
  <c r="L31" i="7"/>
  <c r="G26" i="7"/>
  <c r="P42" i="7"/>
  <c r="H26" i="7"/>
  <c r="J26" i="7"/>
  <c r="P51" i="7"/>
  <c r="O26" i="7"/>
  <c r="P32" i="7"/>
  <c r="D31" i="7"/>
  <c r="D72" i="7" s="1"/>
  <c r="P43" i="7"/>
  <c r="K26" i="7"/>
  <c r="P24" i="7"/>
  <c r="G31" i="7"/>
  <c r="O31" i="7"/>
  <c r="P39" i="7"/>
  <c r="P47" i="7"/>
  <c r="P55" i="7"/>
  <c r="P63" i="7"/>
  <c r="L26" i="7"/>
  <c r="H31" i="7"/>
  <c r="P44" i="7"/>
  <c r="P52" i="7"/>
  <c r="P60" i="7"/>
  <c r="P68" i="7"/>
  <c r="D28" i="7"/>
  <c r="D26" i="7"/>
  <c r="P21" i="7"/>
  <c r="P36" i="7"/>
  <c r="E26" i="7"/>
  <c r="M26" i="7"/>
  <c r="I31" i="7"/>
  <c r="P33" i="7"/>
  <c r="P41" i="7"/>
  <c r="P49" i="7"/>
  <c r="P57" i="7"/>
  <c r="P65" i="7"/>
  <c r="F26" i="7"/>
  <c r="N26" i="7"/>
  <c r="P23" i="7"/>
  <c r="J31" i="7"/>
  <c r="P38" i="7"/>
  <c r="P46" i="7"/>
  <c r="P54" i="7"/>
  <c r="P62" i="7"/>
  <c r="P70" i="7"/>
  <c r="P59" i="7"/>
  <c r="P67" i="7"/>
  <c r="P64" i="7"/>
  <c r="P40" i="7"/>
  <c r="P48" i="7"/>
  <c r="P56" i="7"/>
  <c r="I26" i="7"/>
  <c r="P22" i="7"/>
  <c r="E31" i="7"/>
  <c r="M31" i="7"/>
  <c r="P37" i="7"/>
  <c r="P45" i="7"/>
  <c r="P53" i="7"/>
  <c r="P61" i="7"/>
  <c r="P69" i="7"/>
  <c r="P50" i="7"/>
  <c r="P58" i="7"/>
  <c r="P66" i="7"/>
  <c r="D74" i="7" l="1"/>
  <c r="D78" i="7" s="1"/>
  <c r="D82" i="7" s="1"/>
  <c r="E72" i="7"/>
  <c r="F72" i="7" s="1"/>
  <c r="G72" i="7" s="1"/>
  <c r="H72" i="7" s="1"/>
  <c r="I72" i="7" s="1"/>
  <c r="J72" i="7" s="1"/>
  <c r="K72" i="7" s="1"/>
  <c r="L72" i="7" s="1"/>
  <c r="M72" i="7" s="1"/>
  <c r="N72" i="7" s="1"/>
  <c r="O72" i="7" s="1"/>
  <c r="P26" i="7"/>
  <c r="P72" i="7"/>
  <c r="P74" i="7" s="1"/>
  <c r="P78" i="7" s="1"/>
  <c r="P82" i="7" s="1"/>
  <c r="P31" i="7"/>
  <c r="P30" i="7"/>
  <c r="E28" i="7"/>
  <c r="E74" i="7" l="1"/>
  <c r="E78" i="7" s="1"/>
  <c r="E82" i="7" s="1"/>
  <c r="F28" i="7"/>
  <c r="F74" i="7" l="1"/>
  <c r="F78" i="7" s="1"/>
  <c r="F82" i="7" s="1"/>
  <c r="G28" i="7"/>
  <c r="G74" i="7" l="1"/>
  <c r="G78" i="7" s="1"/>
  <c r="G82" i="7" s="1"/>
  <c r="H28" i="7"/>
  <c r="H74" i="7" l="1"/>
  <c r="H78" i="7" s="1"/>
  <c r="H82" i="7" s="1"/>
  <c r="I28" i="7"/>
  <c r="I74" i="7" l="1"/>
  <c r="I78" i="7" s="1"/>
  <c r="I82" i="7" s="1"/>
  <c r="J28" i="7"/>
  <c r="J74" i="7" l="1"/>
  <c r="J78" i="7" s="1"/>
  <c r="J82" i="7" s="1"/>
  <c r="K28" i="7"/>
  <c r="K74" i="7" l="1"/>
  <c r="K78" i="7" s="1"/>
  <c r="K82" i="7" s="1"/>
  <c r="L28" i="7"/>
  <c r="L74" i="7" l="1"/>
  <c r="L78" i="7" s="1"/>
  <c r="L82" i="7" s="1"/>
  <c r="M28" i="7"/>
  <c r="M74" i="7" l="1"/>
  <c r="M78" i="7" s="1"/>
  <c r="M82" i="7" s="1"/>
  <c r="N28" i="7"/>
  <c r="N74" i="7" l="1"/>
  <c r="N78" i="7" s="1"/>
  <c r="N82" i="7" s="1"/>
  <c r="O28" i="7"/>
  <c r="O74" i="7" s="1"/>
  <c r="O78" i="7" s="1"/>
  <c r="O82" i="7" s="1"/>
</calcChain>
</file>

<file path=xl/sharedStrings.xml><?xml version="1.0" encoding="utf-8"?>
<sst xmlns="http://schemas.openxmlformats.org/spreadsheetml/2006/main" count="98" uniqueCount="92">
  <si>
    <t>INICIO-PARAMETROS</t>
  </si>
  <si>
    <t>Reporte</t>
  </si>
  <si>
    <t>Plantilla_Base</t>
  </si>
  <si>
    <t>NIVEL</t>
  </si>
  <si>
    <t>PERIODO</t>
  </si>
  <si>
    <t>ACUMULADO</t>
  </si>
  <si>
    <t>M</t>
  </si>
  <si>
    <t>EMPRESA</t>
  </si>
  <si>
    <t>TODOTERRENOMX2016</t>
  </si>
  <si>
    <t>AÑO</t>
  </si>
  <si>
    <t>FIN-PARAMETROS</t>
  </si>
  <si>
    <t>Cuenta</t>
  </si>
  <si>
    <t>Descripción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</si>
  <si>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</si>
  <si>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</si>
  <si>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</si>
  <si>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</si>
  <si>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</si>
  <si>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</si>
  <si>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</si>
  <si>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</si>
  <si>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</si>
  <si>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</si>
  <si>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</si>
  <si>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</si>
  <si>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</si>
  <si>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DEPURAR</t>
  </si>
  <si>
    <t>Papel Trabajo ISR Fisica</t>
  </si>
  <si>
    <t>PapelTrabajoISRFisica.xls</t>
  </si>
  <si>
    <t>COEFICIENTE</t>
  </si>
  <si>
    <t>TASA</t>
  </si>
  <si>
    <t>DETERMINACION IMPUESTO ISR - PERSONAS FISICAS</t>
  </si>
  <si>
    <t xml:space="preserve"> </t>
  </si>
  <si>
    <t>INGRESOS</t>
  </si>
  <si>
    <t>Ventas Brutas</t>
  </si>
  <si>
    <t>Ganancias Cambiaria</t>
  </si>
  <si>
    <t>Anticipos de Clientes</t>
  </si>
  <si>
    <t>Otros Ingresos</t>
  </si>
  <si>
    <t>Total Ingresos</t>
  </si>
  <si>
    <t>Ingresos Acumulados</t>
  </si>
  <si>
    <t>DEDUCCIONES</t>
  </si>
  <si>
    <t>Sueldos y Salarios</t>
  </si>
  <si>
    <t>Cuotas al IMSS</t>
  </si>
  <si>
    <t>Aportaciones al Infonavit</t>
  </si>
  <si>
    <t>Aportaciones al SAR</t>
  </si>
  <si>
    <t>Impuesto estatal sobre nominas</t>
  </si>
  <si>
    <t>Otras aportacioners</t>
  </si>
  <si>
    <t>Asimulados a salarios</t>
  </si>
  <si>
    <t>60132-60133</t>
  </si>
  <si>
    <t>Servicios adminsitrativos</t>
  </si>
  <si>
    <t>60134-60144</t>
  </si>
  <si>
    <t>Honorarios</t>
  </si>
  <si>
    <t>60145-60147</t>
  </si>
  <si>
    <t>Arrendamientos</t>
  </si>
  <si>
    <t>Combustibles y lubricantes</t>
  </si>
  <si>
    <t>Viáticos y gastos de viaje</t>
  </si>
  <si>
    <t>Teléfono, Internet</t>
  </si>
  <si>
    <t>Agua</t>
  </si>
  <si>
    <t>Energía Eléctrica</t>
  </si>
  <si>
    <t>Vigilancia y seguridad</t>
  </si>
  <si>
    <t>Limpieza</t>
  </si>
  <si>
    <t>Papelería y artículos de oficina</t>
  </si>
  <si>
    <t>Mantenimiento y Conservación</t>
  </si>
  <si>
    <t>Seguros y Finanzas</t>
  </si>
  <si>
    <t>Otros impuestos y derechos</t>
  </si>
  <si>
    <t>Recarlos fiscales</t>
  </si>
  <si>
    <t>Cuotas y Suscripciones</t>
  </si>
  <si>
    <t>Propaganda y publicidad</t>
  </si>
  <si>
    <t>Capacitación al personal</t>
  </si>
  <si>
    <t>Donativos y ayudas</t>
  </si>
  <si>
    <t>Asistencia técnica</t>
  </si>
  <si>
    <t>60165-60171</t>
  </si>
  <si>
    <t>Regalías</t>
  </si>
  <si>
    <t>Fletes y acarreos</t>
  </si>
  <si>
    <t>Gastos de importación</t>
  </si>
  <si>
    <t>Comisiones sobre ventas</t>
  </si>
  <si>
    <t>Comisiones por tarjeta de crédito</t>
  </si>
  <si>
    <t>Patentes y marcas</t>
  </si>
  <si>
    <t>Uniformes</t>
  </si>
  <si>
    <t>Prediales</t>
  </si>
  <si>
    <t>Gastos generales de urbanización</t>
  </si>
  <si>
    <t>Gastos generales de contrucción</t>
  </si>
  <si>
    <t>Fletes del extrajero</t>
  </si>
  <si>
    <t>Otros gastos generale</t>
  </si>
  <si>
    <t>Deducciones Acumuladas</t>
  </si>
  <si>
    <t>( = )</t>
  </si>
  <si>
    <t>BASE GRAVABLE</t>
  </si>
  <si>
    <t>( - )</t>
  </si>
  <si>
    <t>PERDIDAS FISCALES EJER ANT</t>
  </si>
  <si>
    <t>( * )</t>
  </si>
  <si>
    <t>Tasa 30%</t>
  </si>
  <si>
    <t>ISR A CARGO DEL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</si>
</sst>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€_-;\-* #,##0.00\ _€_-;_-* &quot;-&quot;??\ _€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Tahoma"/>
      <family val="2"/>
    </font>
    <font>
      <b/>
      <sz val="10"/>
      <name val="Verdana"/>
      <family val="2"/>
    </font>
    <font>
      <b/>
      <sz val="20"/>
      <name val="Arial"/>
      <family val="2"/>
    </font>
    <font>
      <sz val="9"/>
      <color indexed="9"/>
      <name val="Tahoma"/>
      <family val="2"/>
    </font>
    <font>
      <b/>
      <sz val="9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0000FF"/>
      <name val="Tahoma"/>
      <family val="2"/>
    </font>
    <font>
      <b/>
      <u/>
      <sz val="10"/>
      <color theme="1"/>
      <name val="Tahoma"/>
      <family val="2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10"/>
      <name val="Tahom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b/>
      <sz val="10"/>
      <name val="Tahoma"/>
      <family val="2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0" fontId="16" fillId="0" borderId="0"/>
    <xf numFmtId="165" fontId="1" fillId="0" borderId="0" applyFont="0" applyFill="0" applyBorder="0" applyAlignment="0" applyProtection="0"/>
    <xf numFmtId="0" fontId="21" fillId="0" borderId="0"/>
    <xf numFmtId="0" fontId="1" fillId="0" borderId="0"/>
  </cellStyleXfs>
  <cellXfs count="55">
    <xf numFmtId="0" fontId="0" fillId="0" borderId="0" xfId="0"/>
    <xf numFmtId="0" fontId="2" fillId="2" borderId="0" xfId="1" applyFill="1"/>
    <xf numFmtId="0" fontId="3" fillId="2" borderId="0" xfId="1" applyFont="1" applyFill="1"/>
    <xf numFmtId="4" fontId="2" fillId="2" borderId="0" xfId="1" applyNumberFormat="1" applyFill="1"/>
    <xf numFmtId="0" fontId="4" fillId="3" borderId="0" xfId="1" applyFont="1" applyFill="1"/>
    <xf numFmtId="0" fontId="5" fillId="2" borderId="0" xfId="1" applyFont="1" applyFill="1" applyAlignment="1">
      <alignment horizontal="right" indent="1"/>
    </xf>
    <xf numFmtId="4" fontId="5" fillId="2" borderId="0" xfId="1" applyNumberFormat="1" applyFont="1" applyFill="1" applyAlignment="1">
      <alignment horizontal="right" indent="1"/>
    </xf>
    <xf numFmtId="3" fontId="4" fillId="3" borderId="0" xfId="1" applyNumberFormat="1" applyFont="1" applyFill="1" applyAlignment="1">
      <alignment horizontal="center"/>
    </xf>
    <xf numFmtId="4" fontId="7" fillId="6" borderId="2" xfId="2" applyNumberFormat="1" applyFont="1" applyFill="1" applyBorder="1" applyAlignment="1">
      <alignment horizontal="center" vertical="center" wrapText="1"/>
    </xf>
    <xf numFmtId="4" fontId="7" fillId="6" borderId="3" xfId="2" applyNumberFormat="1" applyFont="1" applyFill="1" applyBorder="1" applyAlignment="1">
      <alignment horizontal="center" vertical="center" wrapText="1"/>
    </xf>
    <xf numFmtId="4" fontId="7" fillId="6" borderId="0" xfId="2" applyNumberFormat="1" applyFont="1" applyFill="1" applyAlignment="1">
      <alignment horizontal="center" vertical="center" wrapText="1"/>
    </xf>
    <xf numFmtId="4" fontId="7" fillId="6" borderId="4" xfId="2" applyNumberFormat="1" applyFont="1" applyFill="1" applyBorder="1" applyAlignment="1">
      <alignment horizontal="center" vertical="center" wrapText="1"/>
    </xf>
    <xf numFmtId="0" fontId="7" fillId="6" borderId="2" xfId="2" applyFont="1" applyFill="1" applyBorder="1" applyAlignment="1">
      <alignment horizontal="center" vertical="center" wrapText="1"/>
    </xf>
    <xf numFmtId="4" fontId="4" fillId="3" borderId="0" xfId="1" applyNumberFormat="1" applyFont="1" applyFill="1"/>
    <xf numFmtId="0" fontId="9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10" fillId="0" borderId="0" xfId="0" applyFont="1"/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4" fontId="11" fillId="0" borderId="0" xfId="0" applyNumberFormat="1" applyFont="1"/>
    <xf numFmtId="0" fontId="9" fillId="0" borderId="0" xfId="0" applyFont="1" applyAlignment="1">
      <alignment horizontal="left"/>
    </xf>
    <xf numFmtId="0" fontId="4" fillId="7" borderId="0" xfId="1" applyFont="1" applyFill="1"/>
    <xf numFmtId="4" fontId="10" fillId="0" borderId="0" xfId="0" applyNumberFormat="1" applyFont="1"/>
    <xf numFmtId="0" fontId="8" fillId="7" borderId="0" xfId="1" applyFont="1" applyFill="1"/>
    <xf numFmtId="0" fontId="10" fillId="0" borderId="0" xfId="0" applyFont="1" applyAlignment="1">
      <alignment horizontal="left" indent="1"/>
    </xf>
    <xf numFmtId="164" fontId="9" fillId="0" borderId="0" xfId="3" applyFont="1"/>
    <xf numFmtId="4" fontId="13" fillId="0" borderId="0" xfId="0" applyNumberFormat="1" applyFont="1"/>
    <xf numFmtId="164" fontId="10" fillId="0" borderId="0" xfId="3" applyFont="1"/>
    <xf numFmtId="4" fontId="14" fillId="0" borderId="0" xfId="0" applyNumberFormat="1" applyFont="1"/>
    <xf numFmtId="0" fontId="9" fillId="0" borderId="0" xfId="0" applyFont="1" applyAlignment="1">
      <alignment horizontal="left" indent="1"/>
    </xf>
    <xf numFmtId="0" fontId="9" fillId="0" borderId="0" xfId="0" quotePrefix="1" applyFont="1" applyAlignment="1">
      <alignment horizontal="left"/>
    </xf>
    <xf numFmtId="4" fontId="9" fillId="0" borderId="0" xfId="0" applyNumberFormat="1" applyFont="1"/>
    <xf numFmtId="4" fontId="9" fillId="0" borderId="5" xfId="0" applyNumberFormat="1" applyFont="1" applyBorder="1"/>
    <xf numFmtId="4" fontId="15" fillId="0" borderId="5" xfId="0" applyNumberFormat="1" applyFont="1" applyBorder="1"/>
    <xf numFmtId="4" fontId="10" fillId="0" borderId="5" xfId="0" applyNumberFormat="1" applyFont="1" applyBorder="1"/>
    <xf numFmtId="4" fontId="15" fillId="0" borderId="0" xfId="0" applyNumberFormat="1" applyFont="1"/>
    <xf numFmtId="0" fontId="17" fillId="0" borderId="0" xfId="4" applyFont="1" applyAlignment="1">
      <alignment horizontal="center"/>
    </xf>
    <xf numFmtId="0" fontId="18" fillId="0" borderId="0" xfId="4" applyFont="1"/>
    <xf numFmtId="0" fontId="19" fillId="0" borderId="0" xfId="4" applyFont="1"/>
    <xf numFmtId="10" fontId="9" fillId="0" borderId="0" xfId="0" applyNumberFormat="1" applyFont="1"/>
    <xf numFmtId="10" fontId="10" fillId="0" borderId="0" xfId="0" applyNumberFormat="1" applyFont="1"/>
    <xf numFmtId="0" fontId="15" fillId="0" borderId="0" xfId="0" applyFont="1"/>
    <xf numFmtId="0" fontId="20" fillId="5" borderId="0" xfId="4" applyFont="1" applyFill="1"/>
    <xf numFmtId="4" fontId="9" fillId="5" borderId="0" xfId="0" applyNumberFormat="1" applyFont="1" applyFill="1"/>
    <xf numFmtId="4" fontId="10" fillId="5" borderId="0" xfId="0" applyNumberFormat="1" applyFont="1" applyFill="1"/>
    <xf numFmtId="0" fontId="20" fillId="0" borderId="0" xfId="4" applyFont="1"/>
    <xf numFmtId="49" fontId="6" fillId="5" borderId="0" xfId="1" applyNumberFormat="1" applyFont="1" applyFill="1" applyAlignment="1">
      <alignment horizontal="center" vertical="top" wrapText="1"/>
    </xf>
    <xf numFmtId="4" fontId="2" fillId="4" borderId="1" xfId="1" applyNumberFormat="1" applyFill="1" applyBorder="1" applyAlignment="1">
      <alignment horizontal="left"/>
    </xf>
    <xf numFmtId="49" fontId="2" fillId="4" borderId="1" xfId="1" applyNumberFormat="1" applyFill="1" applyBorder="1" applyAlignment="1">
      <alignment horizontal="left"/>
    </xf>
    <xf numFmtId="0" fontId="2" fillId="4" borderId="1" xfId="1" applyFill="1" applyBorder="1" applyAlignment="1">
      <alignment horizontal="left"/>
    </xf>
    <xf numFmtId="2" fontId="2" fillId="4" borderId="1" xfId="1" applyNumberFormat="1" applyFill="1" applyBorder="1" applyAlignment="1">
      <alignment horizontal="left"/>
    </xf>
    <xf numFmtId="0" fontId="2" fillId="4" borderId="1" xfId="1" applyFill="1" applyBorder="1"/>
    <xf numFmtId="0" fontId="3" fillId="5" borderId="0" xfId="1" applyFont="1" applyFill="1" applyAlignment="1">
      <alignment horizontal="center" vertical="top" wrapText="1"/>
    </xf>
  </cellXfs>
  <cellStyles count="8">
    <cellStyle name="Millares 2" xfId="3" xr:uid="{2DE53044-7D97-47D7-AE34-334F8294204A}"/>
    <cellStyle name="Millares 3" xfId="5" xr:uid="{BBFC3AF0-5340-4F4D-8EC1-2D4FF55F170A}"/>
    <cellStyle name="Normal" xfId="0" builtinId="0"/>
    <cellStyle name="Normal 2" xfId="1" xr:uid="{2D5FF173-2B62-4AC3-B266-D8EDC0B40581}"/>
    <cellStyle name="Normal 2 2" xfId="2" xr:uid="{23A7519C-7C54-4F83-B5BE-8BECDE8A9B6B}"/>
    <cellStyle name="Normal 2 3" xfId="7" xr:uid="{4129DBD1-8516-495D-8D0A-AF0933D618B7}"/>
    <cellStyle name="Normal 3" xfId="6" xr:uid="{FBF7CFCF-EC72-42CD-943F-2B08ECB0C1D5}"/>
    <cellStyle name="Normal_IMPUESTOS NARANCO 2010" xfId="4" xr:uid="{8C64D2F2-244C-4E56-B65D-FAC2878BD5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OFIMATICA\OFIMAENTERPRISE\ATLASCS\ComplementoXLAOfima\ofima.xla" TargetMode="External"/><Relationship Id="rId1" Type="http://schemas.openxmlformats.org/officeDocument/2006/relationships/externalLinkPath" Target="/OFIMATICA/OFIMAENTERPRISE/ATLASCS/ComplementoXLAOfima/ofima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Global"/>
      <sheetName val="LOG_CARGA_MVTOAUX"/>
    </sheetNames>
    <definedNames>
      <definedName name="nomcia"/>
      <definedName name="SaldoContableCuentaCadena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F334-688E-41DA-9B48-799C3F16B17D}">
  <sheetPr>
    <tabColor theme="5"/>
    <pageSetUpPr fitToPage="1"/>
  </sheetPr>
  <dimension ref="A1:P89"/>
  <sheetViews>
    <sheetView showGridLines="0" tabSelected="1" topLeftCell="A9" zoomScale="85" zoomScaleNormal="85" workbookViewId="0">
      <selection activeCell="A53" sqref="A53"/>
    </sheetView>
  </sheetViews>
  <sheetFormatPr baseColWidth="10" defaultColWidth="11.44140625" defaultRowHeight="13.2" outlineLevelRow="1" x14ac:dyDescent="0.25"/>
  <cols>
    <col min="1" max="1" width="4.44140625" style="14" customWidth="1"/>
    <col min="2" max="2" width="7.77734375" style="15" customWidth="1"/>
    <col min="3" max="3" width="36.21875" style="14" customWidth="1"/>
    <col min="4" max="4" width="12.44140625" style="14" customWidth="1"/>
    <col min="5" max="6" width="13" style="14" customWidth="1"/>
    <col min="7" max="7" width="14.44140625" style="14" customWidth="1"/>
    <col min="8" max="8" width="15" style="16" customWidth="1"/>
    <col min="9" max="9" width="14.109375" style="14" customWidth="1"/>
    <col min="10" max="11" width="14.44140625" style="14" customWidth="1"/>
    <col min="12" max="12" width="14.21875" style="14" customWidth="1"/>
    <col min="13" max="13" width="13.88671875" style="14" customWidth="1"/>
    <col min="14" max="15" width="14.44140625" style="14" customWidth="1"/>
    <col min="16" max="16" width="15.44140625" style="17" customWidth="1"/>
    <col min="17" max="256" width="11.44140625" style="14"/>
    <col min="257" max="257" width="4.44140625" style="14" customWidth="1"/>
    <col min="258" max="258" width="7.77734375" style="14" customWidth="1"/>
    <col min="259" max="259" width="36.21875" style="14" customWidth="1"/>
    <col min="260" max="260" width="12.44140625" style="14" customWidth="1"/>
    <col min="261" max="262" width="13" style="14" customWidth="1"/>
    <col min="263" max="263" width="14.44140625" style="14" customWidth="1"/>
    <col min="264" max="264" width="15" style="14" customWidth="1"/>
    <col min="265" max="265" width="14.109375" style="14" customWidth="1"/>
    <col min="266" max="267" width="14.44140625" style="14" customWidth="1"/>
    <col min="268" max="268" width="14.21875" style="14" customWidth="1"/>
    <col min="269" max="269" width="13.88671875" style="14" customWidth="1"/>
    <col min="270" max="271" width="14.44140625" style="14" customWidth="1"/>
    <col min="272" max="272" width="15.44140625" style="14" customWidth="1"/>
    <col min="273" max="512" width="11.44140625" style="14"/>
    <col min="513" max="513" width="4.44140625" style="14" customWidth="1"/>
    <col min="514" max="514" width="7.77734375" style="14" customWidth="1"/>
    <col min="515" max="515" width="36.21875" style="14" customWidth="1"/>
    <col min="516" max="516" width="12.44140625" style="14" customWidth="1"/>
    <col min="517" max="518" width="13" style="14" customWidth="1"/>
    <col min="519" max="519" width="14.44140625" style="14" customWidth="1"/>
    <col min="520" max="520" width="15" style="14" customWidth="1"/>
    <col min="521" max="521" width="14.109375" style="14" customWidth="1"/>
    <col min="522" max="523" width="14.44140625" style="14" customWidth="1"/>
    <col min="524" max="524" width="14.21875" style="14" customWidth="1"/>
    <col min="525" max="525" width="13.88671875" style="14" customWidth="1"/>
    <col min="526" max="527" width="14.44140625" style="14" customWidth="1"/>
    <col min="528" max="528" width="15.44140625" style="14" customWidth="1"/>
    <col min="529" max="768" width="11.44140625" style="14"/>
    <col min="769" max="769" width="4.44140625" style="14" customWidth="1"/>
    <col min="770" max="770" width="7.77734375" style="14" customWidth="1"/>
    <col min="771" max="771" width="36.21875" style="14" customWidth="1"/>
    <col min="772" max="772" width="12.44140625" style="14" customWidth="1"/>
    <col min="773" max="774" width="13" style="14" customWidth="1"/>
    <col min="775" max="775" width="14.44140625" style="14" customWidth="1"/>
    <col min="776" max="776" width="15" style="14" customWidth="1"/>
    <col min="777" max="777" width="14.109375" style="14" customWidth="1"/>
    <col min="778" max="779" width="14.44140625" style="14" customWidth="1"/>
    <col min="780" max="780" width="14.21875" style="14" customWidth="1"/>
    <col min="781" max="781" width="13.88671875" style="14" customWidth="1"/>
    <col min="782" max="783" width="14.44140625" style="14" customWidth="1"/>
    <col min="784" max="784" width="15.44140625" style="14" customWidth="1"/>
    <col min="785" max="1024" width="11.44140625" style="14"/>
    <col min="1025" max="1025" width="4.44140625" style="14" customWidth="1"/>
    <col min="1026" max="1026" width="7.77734375" style="14" customWidth="1"/>
    <col min="1027" max="1027" width="36.21875" style="14" customWidth="1"/>
    <col min="1028" max="1028" width="12.44140625" style="14" customWidth="1"/>
    <col min="1029" max="1030" width="13" style="14" customWidth="1"/>
    <col min="1031" max="1031" width="14.44140625" style="14" customWidth="1"/>
    <col min="1032" max="1032" width="15" style="14" customWidth="1"/>
    <col min="1033" max="1033" width="14.109375" style="14" customWidth="1"/>
    <col min="1034" max="1035" width="14.44140625" style="14" customWidth="1"/>
    <col min="1036" max="1036" width="14.21875" style="14" customWidth="1"/>
    <col min="1037" max="1037" width="13.88671875" style="14" customWidth="1"/>
    <col min="1038" max="1039" width="14.44140625" style="14" customWidth="1"/>
    <col min="1040" max="1040" width="15.44140625" style="14" customWidth="1"/>
    <col min="1041" max="1280" width="11.44140625" style="14"/>
    <col min="1281" max="1281" width="4.44140625" style="14" customWidth="1"/>
    <col min="1282" max="1282" width="7.77734375" style="14" customWidth="1"/>
    <col min="1283" max="1283" width="36.21875" style="14" customWidth="1"/>
    <col min="1284" max="1284" width="12.44140625" style="14" customWidth="1"/>
    <col min="1285" max="1286" width="13" style="14" customWidth="1"/>
    <col min="1287" max="1287" width="14.44140625" style="14" customWidth="1"/>
    <col min="1288" max="1288" width="15" style="14" customWidth="1"/>
    <col min="1289" max="1289" width="14.109375" style="14" customWidth="1"/>
    <col min="1290" max="1291" width="14.44140625" style="14" customWidth="1"/>
    <col min="1292" max="1292" width="14.21875" style="14" customWidth="1"/>
    <col min="1293" max="1293" width="13.88671875" style="14" customWidth="1"/>
    <col min="1294" max="1295" width="14.44140625" style="14" customWidth="1"/>
    <col min="1296" max="1296" width="15.44140625" style="14" customWidth="1"/>
    <col min="1297" max="1536" width="11.44140625" style="14"/>
    <col min="1537" max="1537" width="4.44140625" style="14" customWidth="1"/>
    <col min="1538" max="1538" width="7.77734375" style="14" customWidth="1"/>
    <col min="1539" max="1539" width="36.21875" style="14" customWidth="1"/>
    <col min="1540" max="1540" width="12.44140625" style="14" customWidth="1"/>
    <col min="1541" max="1542" width="13" style="14" customWidth="1"/>
    <col min="1543" max="1543" width="14.44140625" style="14" customWidth="1"/>
    <col min="1544" max="1544" width="15" style="14" customWidth="1"/>
    <col min="1545" max="1545" width="14.109375" style="14" customWidth="1"/>
    <col min="1546" max="1547" width="14.44140625" style="14" customWidth="1"/>
    <col min="1548" max="1548" width="14.21875" style="14" customWidth="1"/>
    <col min="1549" max="1549" width="13.88671875" style="14" customWidth="1"/>
    <col min="1550" max="1551" width="14.44140625" style="14" customWidth="1"/>
    <col min="1552" max="1552" width="15.44140625" style="14" customWidth="1"/>
    <col min="1553" max="1792" width="11.44140625" style="14"/>
    <col min="1793" max="1793" width="4.44140625" style="14" customWidth="1"/>
    <col min="1794" max="1794" width="7.77734375" style="14" customWidth="1"/>
    <col min="1795" max="1795" width="36.21875" style="14" customWidth="1"/>
    <col min="1796" max="1796" width="12.44140625" style="14" customWidth="1"/>
    <col min="1797" max="1798" width="13" style="14" customWidth="1"/>
    <col min="1799" max="1799" width="14.44140625" style="14" customWidth="1"/>
    <col min="1800" max="1800" width="15" style="14" customWidth="1"/>
    <col min="1801" max="1801" width="14.109375" style="14" customWidth="1"/>
    <col min="1802" max="1803" width="14.44140625" style="14" customWidth="1"/>
    <col min="1804" max="1804" width="14.21875" style="14" customWidth="1"/>
    <col min="1805" max="1805" width="13.88671875" style="14" customWidth="1"/>
    <col min="1806" max="1807" width="14.44140625" style="14" customWidth="1"/>
    <col min="1808" max="1808" width="15.44140625" style="14" customWidth="1"/>
    <col min="1809" max="2048" width="11.44140625" style="14"/>
    <col min="2049" max="2049" width="4.44140625" style="14" customWidth="1"/>
    <col min="2050" max="2050" width="7.77734375" style="14" customWidth="1"/>
    <col min="2051" max="2051" width="36.21875" style="14" customWidth="1"/>
    <col min="2052" max="2052" width="12.44140625" style="14" customWidth="1"/>
    <col min="2053" max="2054" width="13" style="14" customWidth="1"/>
    <col min="2055" max="2055" width="14.44140625" style="14" customWidth="1"/>
    <col min="2056" max="2056" width="15" style="14" customWidth="1"/>
    <col min="2057" max="2057" width="14.109375" style="14" customWidth="1"/>
    <col min="2058" max="2059" width="14.44140625" style="14" customWidth="1"/>
    <col min="2060" max="2060" width="14.21875" style="14" customWidth="1"/>
    <col min="2061" max="2061" width="13.88671875" style="14" customWidth="1"/>
    <col min="2062" max="2063" width="14.44140625" style="14" customWidth="1"/>
    <col min="2064" max="2064" width="15.44140625" style="14" customWidth="1"/>
    <col min="2065" max="2304" width="11.44140625" style="14"/>
    <col min="2305" max="2305" width="4.44140625" style="14" customWidth="1"/>
    <col min="2306" max="2306" width="7.77734375" style="14" customWidth="1"/>
    <col min="2307" max="2307" width="36.21875" style="14" customWidth="1"/>
    <col min="2308" max="2308" width="12.44140625" style="14" customWidth="1"/>
    <col min="2309" max="2310" width="13" style="14" customWidth="1"/>
    <col min="2311" max="2311" width="14.44140625" style="14" customWidth="1"/>
    <col min="2312" max="2312" width="15" style="14" customWidth="1"/>
    <col min="2313" max="2313" width="14.109375" style="14" customWidth="1"/>
    <col min="2314" max="2315" width="14.44140625" style="14" customWidth="1"/>
    <col min="2316" max="2316" width="14.21875" style="14" customWidth="1"/>
    <col min="2317" max="2317" width="13.88671875" style="14" customWidth="1"/>
    <col min="2318" max="2319" width="14.44140625" style="14" customWidth="1"/>
    <col min="2320" max="2320" width="15.44140625" style="14" customWidth="1"/>
    <col min="2321" max="2560" width="11.44140625" style="14"/>
    <col min="2561" max="2561" width="4.44140625" style="14" customWidth="1"/>
    <col min="2562" max="2562" width="7.77734375" style="14" customWidth="1"/>
    <col min="2563" max="2563" width="36.21875" style="14" customWidth="1"/>
    <col min="2564" max="2564" width="12.44140625" style="14" customWidth="1"/>
    <col min="2565" max="2566" width="13" style="14" customWidth="1"/>
    <col min="2567" max="2567" width="14.44140625" style="14" customWidth="1"/>
    <col min="2568" max="2568" width="15" style="14" customWidth="1"/>
    <col min="2569" max="2569" width="14.109375" style="14" customWidth="1"/>
    <col min="2570" max="2571" width="14.44140625" style="14" customWidth="1"/>
    <col min="2572" max="2572" width="14.21875" style="14" customWidth="1"/>
    <col min="2573" max="2573" width="13.88671875" style="14" customWidth="1"/>
    <col min="2574" max="2575" width="14.44140625" style="14" customWidth="1"/>
    <col min="2576" max="2576" width="15.44140625" style="14" customWidth="1"/>
    <col min="2577" max="2816" width="11.44140625" style="14"/>
    <col min="2817" max="2817" width="4.44140625" style="14" customWidth="1"/>
    <col min="2818" max="2818" width="7.77734375" style="14" customWidth="1"/>
    <col min="2819" max="2819" width="36.21875" style="14" customWidth="1"/>
    <col min="2820" max="2820" width="12.44140625" style="14" customWidth="1"/>
    <col min="2821" max="2822" width="13" style="14" customWidth="1"/>
    <col min="2823" max="2823" width="14.44140625" style="14" customWidth="1"/>
    <col min="2824" max="2824" width="15" style="14" customWidth="1"/>
    <col min="2825" max="2825" width="14.109375" style="14" customWidth="1"/>
    <col min="2826" max="2827" width="14.44140625" style="14" customWidth="1"/>
    <col min="2828" max="2828" width="14.21875" style="14" customWidth="1"/>
    <col min="2829" max="2829" width="13.88671875" style="14" customWidth="1"/>
    <col min="2830" max="2831" width="14.44140625" style="14" customWidth="1"/>
    <col min="2832" max="2832" width="15.44140625" style="14" customWidth="1"/>
    <col min="2833" max="3072" width="11.44140625" style="14"/>
    <col min="3073" max="3073" width="4.44140625" style="14" customWidth="1"/>
    <col min="3074" max="3074" width="7.77734375" style="14" customWidth="1"/>
    <col min="3075" max="3075" width="36.21875" style="14" customWidth="1"/>
    <col min="3076" max="3076" width="12.44140625" style="14" customWidth="1"/>
    <col min="3077" max="3078" width="13" style="14" customWidth="1"/>
    <col min="3079" max="3079" width="14.44140625" style="14" customWidth="1"/>
    <col min="3080" max="3080" width="15" style="14" customWidth="1"/>
    <col min="3081" max="3081" width="14.109375" style="14" customWidth="1"/>
    <col min="3082" max="3083" width="14.44140625" style="14" customWidth="1"/>
    <col min="3084" max="3084" width="14.21875" style="14" customWidth="1"/>
    <col min="3085" max="3085" width="13.88671875" style="14" customWidth="1"/>
    <col min="3086" max="3087" width="14.44140625" style="14" customWidth="1"/>
    <col min="3088" max="3088" width="15.44140625" style="14" customWidth="1"/>
    <col min="3089" max="3328" width="11.44140625" style="14"/>
    <col min="3329" max="3329" width="4.44140625" style="14" customWidth="1"/>
    <col min="3330" max="3330" width="7.77734375" style="14" customWidth="1"/>
    <col min="3331" max="3331" width="36.21875" style="14" customWidth="1"/>
    <col min="3332" max="3332" width="12.44140625" style="14" customWidth="1"/>
    <col min="3333" max="3334" width="13" style="14" customWidth="1"/>
    <col min="3335" max="3335" width="14.44140625" style="14" customWidth="1"/>
    <col min="3336" max="3336" width="15" style="14" customWidth="1"/>
    <col min="3337" max="3337" width="14.109375" style="14" customWidth="1"/>
    <col min="3338" max="3339" width="14.44140625" style="14" customWidth="1"/>
    <col min="3340" max="3340" width="14.21875" style="14" customWidth="1"/>
    <col min="3341" max="3341" width="13.88671875" style="14" customWidth="1"/>
    <col min="3342" max="3343" width="14.44140625" style="14" customWidth="1"/>
    <col min="3344" max="3344" width="15.44140625" style="14" customWidth="1"/>
    <col min="3345" max="3584" width="11.44140625" style="14"/>
    <col min="3585" max="3585" width="4.44140625" style="14" customWidth="1"/>
    <col min="3586" max="3586" width="7.77734375" style="14" customWidth="1"/>
    <col min="3587" max="3587" width="36.21875" style="14" customWidth="1"/>
    <col min="3588" max="3588" width="12.44140625" style="14" customWidth="1"/>
    <col min="3589" max="3590" width="13" style="14" customWidth="1"/>
    <col min="3591" max="3591" width="14.44140625" style="14" customWidth="1"/>
    <col min="3592" max="3592" width="15" style="14" customWidth="1"/>
    <col min="3593" max="3593" width="14.109375" style="14" customWidth="1"/>
    <col min="3594" max="3595" width="14.44140625" style="14" customWidth="1"/>
    <col min="3596" max="3596" width="14.21875" style="14" customWidth="1"/>
    <col min="3597" max="3597" width="13.88671875" style="14" customWidth="1"/>
    <col min="3598" max="3599" width="14.44140625" style="14" customWidth="1"/>
    <col min="3600" max="3600" width="15.44140625" style="14" customWidth="1"/>
    <col min="3601" max="3840" width="11.44140625" style="14"/>
    <col min="3841" max="3841" width="4.44140625" style="14" customWidth="1"/>
    <col min="3842" max="3842" width="7.77734375" style="14" customWidth="1"/>
    <col min="3843" max="3843" width="36.21875" style="14" customWidth="1"/>
    <col min="3844" max="3844" width="12.44140625" style="14" customWidth="1"/>
    <col min="3845" max="3846" width="13" style="14" customWidth="1"/>
    <col min="3847" max="3847" width="14.44140625" style="14" customWidth="1"/>
    <col min="3848" max="3848" width="15" style="14" customWidth="1"/>
    <col min="3849" max="3849" width="14.109375" style="14" customWidth="1"/>
    <col min="3850" max="3851" width="14.44140625" style="14" customWidth="1"/>
    <col min="3852" max="3852" width="14.21875" style="14" customWidth="1"/>
    <col min="3853" max="3853" width="13.88671875" style="14" customWidth="1"/>
    <col min="3854" max="3855" width="14.44140625" style="14" customWidth="1"/>
    <col min="3856" max="3856" width="15.44140625" style="14" customWidth="1"/>
    <col min="3857" max="4096" width="11.44140625" style="14"/>
    <col min="4097" max="4097" width="4.44140625" style="14" customWidth="1"/>
    <col min="4098" max="4098" width="7.77734375" style="14" customWidth="1"/>
    <col min="4099" max="4099" width="36.21875" style="14" customWidth="1"/>
    <col min="4100" max="4100" width="12.44140625" style="14" customWidth="1"/>
    <col min="4101" max="4102" width="13" style="14" customWidth="1"/>
    <col min="4103" max="4103" width="14.44140625" style="14" customWidth="1"/>
    <col min="4104" max="4104" width="15" style="14" customWidth="1"/>
    <col min="4105" max="4105" width="14.109375" style="14" customWidth="1"/>
    <col min="4106" max="4107" width="14.44140625" style="14" customWidth="1"/>
    <col min="4108" max="4108" width="14.21875" style="14" customWidth="1"/>
    <col min="4109" max="4109" width="13.88671875" style="14" customWidth="1"/>
    <col min="4110" max="4111" width="14.44140625" style="14" customWidth="1"/>
    <col min="4112" max="4112" width="15.44140625" style="14" customWidth="1"/>
    <col min="4113" max="4352" width="11.44140625" style="14"/>
    <col min="4353" max="4353" width="4.44140625" style="14" customWidth="1"/>
    <col min="4354" max="4354" width="7.77734375" style="14" customWidth="1"/>
    <col min="4355" max="4355" width="36.21875" style="14" customWidth="1"/>
    <col min="4356" max="4356" width="12.44140625" style="14" customWidth="1"/>
    <col min="4357" max="4358" width="13" style="14" customWidth="1"/>
    <col min="4359" max="4359" width="14.44140625" style="14" customWidth="1"/>
    <col min="4360" max="4360" width="15" style="14" customWidth="1"/>
    <col min="4361" max="4361" width="14.109375" style="14" customWidth="1"/>
    <col min="4362" max="4363" width="14.44140625" style="14" customWidth="1"/>
    <col min="4364" max="4364" width="14.21875" style="14" customWidth="1"/>
    <col min="4365" max="4365" width="13.88671875" style="14" customWidth="1"/>
    <col min="4366" max="4367" width="14.44140625" style="14" customWidth="1"/>
    <col min="4368" max="4368" width="15.44140625" style="14" customWidth="1"/>
    <col min="4369" max="4608" width="11.44140625" style="14"/>
    <col min="4609" max="4609" width="4.44140625" style="14" customWidth="1"/>
    <col min="4610" max="4610" width="7.77734375" style="14" customWidth="1"/>
    <col min="4611" max="4611" width="36.21875" style="14" customWidth="1"/>
    <col min="4612" max="4612" width="12.44140625" style="14" customWidth="1"/>
    <col min="4613" max="4614" width="13" style="14" customWidth="1"/>
    <col min="4615" max="4615" width="14.44140625" style="14" customWidth="1"/>
    <col min="4616" max="4616" width="15" style="14" customWidth="1"/>
    <col min="4617" max="4617" width="14.109375" style="14" customWidth="1"/>
    <col min="4618" max="4619" width="14.44140625" style="14" customWidth="1"/>
    <col min="4620" max="4620" width="14.21875" style="14" customWidth="1"/>
    <col min="4621" max="4621" width="13.88671875" style="14" customWidth="1"/>
    <col min="4622" max="4623" width="14.44140625" style="14" customWidth="1"/>
    <col min="4624" max="4624" width="15.44140625" style="14" customWidth="1"/>
    <col min="4625" max="4864" width="11.44140625" style="14"/>
    <col min="4865" max="4865" width="4.44140625" style="14" customWidth="1"/>
    <col min="4866" max="4866" width="7.77734375" style="14" customWidth="1"/>
    <col min="4867" max="4867" width="36.21875" style="14" customWidth="1"/>
    <col min="4868" max="4868" width="12.44140625" style="14" customWidth="1"/>
    <col min="4869" max="4870" width="13" style="14" customWidth="1"/>
    <col min="4871" max="4871" width="14.44140625" style="14" customWidth="1"/>
    <col min="4872" max="4872" width="15" style="14" customWidth="1"/>
    <col min="4873" max="4873" width="14.109375" style="14" customWidth="1"/>
    <col min="4874" max="4875" width="14.44140625" style="14" customWidth="1"/>
    <col min="4876" max="4876" width="14.21875" style="14" customWidth="1"/>
    <col min="4877" max="4877" width="13.88671875" style="14" customWidth="1"/>
    <col min="4878" max="4879" width="14.44140625" style="14" customWidth="1"/>
    <col min="4880" max="4880" width="15.44140625" style="14" customWidth="1"/>
    <col min="4881" max="5120" width="11.44140625" style="14"/>
    <col min="5121" max="5121" width="4.44140625" style="14" customWidth="1"/>
    <col min="5122" max="5122" width="7.77734375" style="14" customWidth="1"/>
    <col min="5123" max="5123" width="36.21875" style="14" customWidth="1"/>
    <col min="5124" max="5124" width="12.44140625" style="14" customWidth="1"/>
    <col min="5125" max="5126" width="13" style="14" customWidth="1"/>
    <col min="5127" max="5127" width="14.44140625" style="14" customWidth="1"/>
    <col min="5128" max="5128" width="15" style="14" customWidth="1"/>
    <col min="5129" max="5129" width="14.109375" style="14" customWidth="1"/>
    <col min="5130" max="5131" width="14.44140625" style="14" customWidth="1"/>
    <col min="5132" max="5132" width="14.21875" style="14" customWidth="1"/>
    <col min="5133" max="5133" width="13.88671875" style="14" customWidth="1"/>
    <col min="5134" max="5135" width="14.44140625" style="14" customWidth="1"/>
    <col min="5136" max="5136" width="15.44140625" style="14" customWidth="1"/>
    <col min="5137" max="5376" width="11.44140625" style="14"/>
    <col min="5377" max="5377" width="4.44140625" style="14" customWidth="1"/>
    <col min="5378" max="5378" width="7.77734375" style="14" customWidth="1"/>
    <col min="5379" max="5379" width="36.21875" style="14" customWidth="1"/>
    <col min="5380" max="5380" width="12.44140625" style="14" customWidth="1"/>
    <col min="5381" max="5382" width="13" style="14" customWidth="1"/>
    <col min="5383" max="5383" width="14.44140625" style="14" customWidth="1"/>
    <col min="5384" max="5384" width="15" style="14" customWidth="1"/>
    <col min="5385" max="5385" width="14.109375" style="14" customWidth="1"/>
    <col min="5386" max="5387" width="14.44140625" style="14" customWidth="1"/>
    <col min="5388" max="5388" width="14.21875" style="14" customWidth="1"/>
    <col min="5389" max="5389" width="13.88671875" style="14" customWidth="1"/>
    <col min="5390" max="5391" width="14.44140625" style="14" customWidth="1"/>
    <col min="5392" max="5392" width="15.44140625" style="14" customWidth="1"/>
    <col min="5393" max="5632" width="11.44140625" style="14"/>
    <col min="5633" max="5633" width="4.44140625" style="14" customWidth="1"/>
    <col min="5634" max="5634" width="7.77734375" style="14" customWidth="1"/>
    <col min="5635" max="5635" width="36.21875" style="14" customWidth="1"/>
    <col min="5636" max="5636" width="12.44140625" style="14" customWidth="1"/>
    <col min="5637" max="5638" width="13" style="14" customWidth="1"/>
    <col min="5639" max="5639" width="14.44140625" style="14" customWidth="1"/>
    <col min="5640" max="5640" width="15" style="14" customWidth="1"/>
    <col min="5641" max="5641" width="14.109375" style="14" customWidth="1"/>
    <col min="5642" max="5643" width="14.44140625" style="14" customWidth="1"/>
    <col min="5644" max="5644" width="14.21875" style="14" customWidth="1"/>
    <col min="5645" max="5645" width="13.88671875" style="14" customWidth="1"/>
    <col min="5646" max="5647" width="14.44140625" style="14" customWidth="1"/>
    <col min="5648" max="5648" width="15.44140625" style="14" customWidth="1"/>
    <col min="5649" max="5888" width="11.44140625" style="14"/>
    <col min="5889" max="5889" width="4.44140625" style="14" customWidth="1"/>
    <col min="5890" max="5890" width="7.77734375" style="14" customWidth="1"/>
    <col min="5891" max="5891" width="36.21875" style="14" customWidth="1"/>
    <col min="5892" max="5892" width="12.44140625" style="14" customWidth="1"/>
    <col min="5893" max="5894" width="13" style="14" customWidth="1"/>
    <col min="5895" max="5895" width="14.44140625" style="14" customWidth="1"/>
    <col min="5896" max="5896" width="15" style="14" customWidth="1"/>
    <col min="5897" max="5897" width="14.109375" style="14" customWidth="1"/>
    <col min="5898" max="5899" width="14.44140625" style="14" customWidth="1"/>
    <col min="5900" max="5900" width="14.21875" style="14" customWidth="1"/>
    <col min="5901" max="5901" width="13.88671875" style="14" customWidth="1"/>
    <col min="5902" max="5903" width="14.44140625" style="14" customWidth="1"/>
    <col min="5904" max="5904" width="15.44140625" style="14" customWidth="1"/>
    <col min="5905" max="6144" width="11.44140625" style="14"/>
    <col min="6145" max="6145" width="4.44140625" style="14" customWidth="1"/>
    <col min="6146" max="6146" width="7.77734375" style="14" customWidth="1"/>
    <col min="6147" max="6147" width="36.21875" style="14" customWidth="1"/>
    <col min="6148" max="6148" width="12.44140625" style="14" customWidth="1"/>
    <col min="6149" max="6150" width="13" style="14" customWidth="1"/>
    <col min="6151" max="6151" width="14.44140625" style="14" customWidth="1"/>
    <col min="6152" max="6152" width="15" style="14" customWidth="1"/>
    <col min="6153" max="6153" width="14.109375" style="14" customWidth="1"/>
    <col min="6154" max="6155" width="14.44140625" style="14" customWidth="1"/>
    <col min="6156" max="6156" width="14.21875" style="14" customWidth="1"/>
    <col min="6157" max="6157" width="13.88671875" style="14" customWidth="1"/>
    <col min="6158" max="6159" width="14.44140625" style="14" customWidth="1"/>
    <col min="6160" max="6160" width="15.44140625" style="14" customWidth="1"/>
    <col min="6161" max="6400" width="11.44140625" style="14"/>
    <col min="6401" max="6401" width="4.44140625" style="14" customWidth="1"/>
    <col min="6402" max="6402" width="7.77734375" style="14" customWidth="1"/>
    <col min="6403" max="6403" width="36.21875" style="14" customWidth="1"/>
    <col min="6404" max="6404" width="12.44140625" style="14" customWidth="1"/>
    <col min="6405" max="6406" width="13" style="14" customWidth="1"/>
    <col min="6407" max="6407" width="14.44140625" style="14" customWidth="1"/>
    <col min="6408" max="6408" width="15" style="14" customWidth="1"/>
    <col min="6409" max="6409" width="14.109375" style="14" customWidth="1"/>
    <col min="6410" max="6411" width="14.44140625" style="14" customWidth="1"/>
    <col min="6412" max="6412" width="14.21875" style="14" customWidth="1"/>
    <col min="6413" max="6413" width="13.88671875" style="14" customWidth="1"/>
    <col min="6414" max="6415" width="14.44140625" style="14" customWidth="1"/>
    <col min="6416" max="6416" width="15.44140625" style="14" customWidth="1"/>
    <col min="6417" max="6656" width="11.44140625" style="14"/>
    <col min="6657" max="6657" width="4.44140625" style="14" customWidth="1"/>
    <col min="6658" max="6658" width="7.77734375" style="14" customWidth="1"/>
    <col min="6659" max="6659" width="36.21875" style="14" customWidth="1"/>
    <col min="6660" max="6660" width="12.44140625" style="14" customWidth="1"/>
    <col min="6661" max="6662" width="13" style="14" customWidth="1"/>
    <col min="6663" max="6663" width="14.44140625" style="14" customWidth="1"/>
    <col min="6664" max="6664" width="15" style="14" customWidth="1"/>
    <col min="6665" max="6665" width="14.109375" style="14" customWidth="1"/>
    <col min="6666" max="6667" width="14.44140625" style="14" customWidth="1"/>
    <col min="6668" max="6668" width="14.21875" style="14" customWidth="1"/>
    <col min="6669" max="6669" width="13.88671875" style="14" customWidth="1"/>
    <col min="6670" max="6671" width="14.44140625" style="14" customWidth="1"/>
    <col min="6672" max="6672" width="15.44140625" style="14" customWidth="1"/>
    <col min="6673" max="6912" width="11.44140625" style="14"/>
    <col min="6913" max="6913" width="4.44140625" style="14" customWidth="1"/>
    <col min="6914" max="6914" width="7.77734375" style="14" customWidth="1"/>
    <col min="6915" max="6915" width="36.21875" style="14" customWidth="1"/>
    <col min="6916" max="6916" width="12.44140625" style="14" customWidth="1"/>
    <col min="6917" max="6918" width="13" style="14" customWidth="1"/>
    <col min="6919" max="6919" width="14.44140625" style="14" customWidth="1"/>
    <col min="6920" max="6920" width="15" style="14" customWidth="1"/>
    <col min="6921" max="6921" width="14.109375" style="14" customWidth="1"/>
    <col min="6922" max="6923" width="14.44140625" style="14" customWidth="1"/>
    <col min="6924" max="6924" width="14.21875" style="14" customWidth="1"/>
    <col min="6925" max="6925" width="13.88671875" style="14" customWidth="1"/>
    <col min="6926" max="6927" width="14.44140625" style="14" customWidth="1"/>
    <col min="6928" max="6928" width="15.44140625" style="14" customWidth="1"/>
    <col min="6929" max="7168" width="11.44140625" style="14"/>
    <col min="7169" max="7169" width="4.44140625" style="14" customWidth="1"/>
    <col min="7170" max="7170" width="7.77734375" style="14" customWidth="1"/>
    <col min="7171" max="7171" width="36.21875" style="14" customWidth="1"/>
    <col min="7172" max="7172" width="12.44140625" style="14" customWidth="1"/>
    <col min="7173" max="7174" width="13" style="14" customWidth="1"/>
    <col min="7175" max="7175" width="14.44140625" style="14" customWidth="1"/>
    <col min="7176" max="7176" width="15" style="14" customWidth="1"/>
    <col min="7177" max="7177" width="14.109375" style="14" customWidth="1"/>
    <col min="7178" max="7179" width="14.44140625" style="14" customWidth="1"/>
    <col min="7180" max="7180" width="14.21875" style="14" customWidth="1"/>
    <col min="7181" max="7181" width="13.88671875" style="14" customWidth="1"/>
    <col min="7182" max="7183" width="14.44140625" style="14" customWidth="1"/>
    <col min="7184" max="7184" width="15.44140625" style="14" customWidth="1"/>
    <col min="7185" max="7424" width="11.44140625" style="14"/>
    <col min="7425" max="7425" width="4.44140625" style="14" customWidth="1"/>
    <col min="7426" max="7426" width="7.77734375" style="14" customWidth="1"/>
    <col min="7427" max="7427" width="36.21875" style="14" customWidth="1"/>
    <col min="7428" max="7428" width="12.44140625" style="14" customWidth="1"/>
    <col min="7429" max="7430" width="13" style="14" customWidth="1"/>
    <col min="7431" max="7431" width="14.44140625" style="14" customWidth="1"/>
    <col min="7432" max="7432" width="15" style="14" customWidth="1"/>
    <col min="7433" max="7433" width="14.109375" style="14" customWidth="1"/>
    <col min="7434" max="7435" width="14.44140625" style="14" customWidth="1"/>
    <col min="7436" max="7436" width="14.21875" style="14" customWidth="1"/>
    <col min="7437" max="7437" width="13.88671875" style="14" customWidth="1"/>
    <col min="7438" max="7439" width="14.44140625" style="14" customWidth="1"/>
    <col min="7440" max="7440" width="15.44140625" style="14" customWidth="1"/>
    <col min="7441" max="7680" width="11.44140625" style="14"/>
    <col min="7681" max="7681" width="4.44140625" style="14" customWidth="1"/>
    <col min="7682" max="7682" width="7.77734375" style="14" customWidth="1"/>
    <col min="7683" max="7683" width="36.21875" style="14" customWidth="1"/>
    <col min="7684" max="7684" width="12.44140625" style="14" customWidth="1"/>
    <col min="7685" max="7686" width="13" style="14" customWidth="1"/>
    <col min="7687" max="7687" width="14.44140625" style="14" customWidth="1"/>
    <col min="7688" max="7688" width="15" style="14" customWidth="1"/>
    <col min="7689" max="7689" width="14.109375" style="14" customWidth="1"/>
    <col min="7690" max="7691" width="14.44140625" style="14" customWidth="1"/>
    <col min="7692" max="7692" width="14.21875" style="14" customWidth="1"/>
    <col min="7693" max="7693" width="13.88671875" style="14" customWidth="1"/>
    <col min="7694" max="7695" width="14.44140625" style="14" customWidth="1"/>
    <col min="7696" max="7696" width="15.44140625" style="14" customWidth="1"/>
    <col min="7697" max="7936" width="11.44140625" style="14"/>
    <col min="7937" max="7937" width="4.44140625" style="14" customWidth="1"/>
    <col min="7938" max="7938" width="7.77734375" style="14" customWidth="1"/>
    <col min="7939" max="7939" width="36.21875" style="14" customWidth="1"/>
    <col min="7940" max="7940" width="12.44140625" style="14" customWidth="1"/>
    <col min="7941" max="7942" width="13" style="14" customWidth="1"/>
    <col min="7943" max="7943" width="14.44140625" style="14" customWidth="1"/>
    <col min="7944" max="7944" width="15" style="14" customWidth="1"/>
    <col min="7945" max="7945" width="14.109375" style="14" customWidth="1"/>
    <col min="7946" max="7947" width="14.44140625" style="14" customWidth="1"/>
    <col min="7948" max="7948" width="14.21875" style="14" customWidth="1"/>
    <col min="7949" max="7949" width="13.88671875" style="14" customWidth="1"/>
    <col min="7950" max="7951" width="14.44140625" style="14" customWidth="1"/>
    <col min="7952" max="7952" width="15.44140625" style="14" customWidth="1"/>
    <col min="7953" max="8192" width="11.44140625" style="14"/>
    <col min="8193" max="8193" width="4.44140625" style="14" customWidth="1"/>
    <col min="8194" max="8194" width="7.77734375" style="14" customWidth="1"/>
    <col min="8195" max="8195" width="36.21875" style="14" customWidth="1"/>
    <col min="8196" max="8196" width="12.44140625" style="14" customWidth="1"/>
    <col min="8197" max="8198" width="13" style="14" customWidth="1"/>
    <col min="8199" max="8199" width="14.44140625" style="14" customWidth="1"/>
    <col min="8200" max="8200" width="15" style="14" customWidth="1"/>
    <col min="8201" max="8201" width="14.109375" style="14" customWidth="1"/>
    <col min="8202" max="8203" width="14.44140625" style="14" customWidth="1"/>
    <col min="8204" max="8204" width="14.21875" style="14" customWidth="1"/>
    <col min="8205" max="8205" width="13.88671875" style="14" customWidth="1"/>
    <col min="8206" max="8207" width="14.44140625" style="14" customWidth="1"/>
    <col min="8208" max="8208" width="15.44140625" style="14" customWidth="1"/>
    <col min="8209" max="8448" width="11.44140625" style="14"/>
    <col min="8449" max="8449" width="4.44140625" style="14" customWidth="1"/>
    <col min="8450" max="8450" width="7.77734375" style="14" customWidth="1"/>
    <col min="8451" max="8451" width="36.21875" style="14" customWidth="1"/>
    <col min="8452" max="8452" width="12.44140625" style="14" customWidth="1"/>
    <col min="8453" max="8454" width="13" style="14" customWidth="1"/>
    <col min="8455" max="8455" width="14.44140625" style="14" customWidth="1"/>
    <col min="8456" max="8456" width="15" style="14" customWidth="1"/>
    <col min="8457" max="8457" width="14.109375" style="14" customWidth="1"/>
    <col min="8458" max="8459" width="14.44140625" style="14" customWidth="1"/>
    <col min="8460" max="8460" width="14.21875" style="14" customWidth="1"/>
    <col min="8461" max="8461" width="13.88671875" style="14" customWidth="1"/>
    <col min="8462" max="8463" width="14.44140625" style="14" customWidth="1"/>
    <col min="8464" max="8464" width="15.44140625" style="14" customWidth="1"/>
    <col min="8465" max="8704" width="11.44140625" style="14"/>
    <col min="8705" max="8705" width="4.44140625" style="14" customWidth="1"/>
    <col min="8706" max="8706" width="7.77734375" style="14" customWidth="1"/>
    <col min="8707" max="8707" width="36.21875" style="14" customWidth="1"/>
    <col min="8708" max="8708" width="12.44140625" style="14" customWidth="1"/>
    <col min="8709" max="8710" width="13" style="14" customWidth="1"/>
    <col min="8711" max="8711" width="14.44140625" style="14" customWidth="1"/>
    <col min="8712" max="8712" width="15" style="14" customWidth="1"/>
    <col min="8713" max="8713" width="14.109375" style="14" customWidth="1"/>
    <col min="8714" max="8715" width="14.44140625" style="14" customWidth="1"/>
    <col min="8716" max="8716" width="14.21875" style="14" customWidth="1"/>
    <col min="8717" max="8717" width="13.88671875" style="14" customWidth="1"/>
    <col min="8718" max="8719" width="14.44140625" style="14" customWidth="1"/>
    <col min="8720" max="8720" width="15.44140625" style="14" customWidth="1"/>
    <col min="8721" max="8960" width="11.44140625" style="14"/>
    <col min="8961" max="8961" width="4.44140625" style="14" customWidth="1"/>
    <col min="8962" max="8962" width="7.77734375" style="14" customWidth="1"/>
    <col min="8963" max="8963" width="36.21875" style="14" customWidth="1"/>
    <col min="8964" max="8964" width="12.44140625" style="14" customWidth="1"/>
    <col min="8965" max="8966" width="13" style="14" customWidth="1"/>
    <col min="8967" max="8967" width="14.44140625" style="14" customWidth="1"/>
    <col min="8968" max="8968" width="15" style="14" customWidth="1"/>
    <col min="8969" max="8969" width="14.109375" style="14" customWidth="1"/>
    <col min="8970" max="8971" width="14.44140625" style="14" customWidth="1"/>
    <col min="8972" max="8972" width="14.21875" style="14" customWidth="1"/>
    <col min="8973" max="8973" width="13.88671875" style="14" customWidth="1"/>
    <col min="8974" max="8975" width="14.44140625" style="14" customWidth="1"/>
    <col min="8976" max="8976" width="15.44140625" style="14" customWidth="1"/>
    <col min="8977" max="9216" width="11.44140625" style="14"/>
    <col min="9217" max="9217" width="4.44140625" style="14" customWidth="1"/>
    <col min="9218" max="9218" width="7.77734375" style="14" customWidth="1"/>
    <col min="9219" max="9219" width="36.21875" style="14" customWidth="1"/>
    <col min="9220" max="9220" width="12.44140625" style="14" customWidth="1"/>
    <col min="9221" max="9222" width="13" style="14" customWidth="1"/>
    <col min="9223" max="9223" width="14.44140625" style="14" customWidth="1"/>
    <col min="9224" max="9224" width="15" style="14" customWidth="1"/>
    <col min="9225" max="9225" width="14.109375" style="14" customWidth="1"/>
    <col min="9226" max="9227" width="14.44140625" style="14" customWidth="1"/>
    <col min="9228" max="9228" width="14.21875" style="14" customWidth="1"/>
    <col min="9229" max="9229" width="13.88671875" style="14" customWidth="1"/>
    <col min="9230" max="9231" width="14.44140625" style="14" customWidth="1"/>
    <col min="9232" max="9232" width="15.44140625" style="14" customWidth="1"/>
    <col min="9233" max="9472" width="11.44140625" style="14"/>
    <col min="9473" max="9473" width="4.44140625" style="14" customWidth="1"/>
    <col min="9474" max="9474" width="7.77734375" style="14" customWidth="1"/>
    <col min="9475" max="9475" width="36.21875" style="14" customWidth="1"/>
    <col min="9476" max="9476" width="12.44140625" style="14" customWidth="1"/>
    <col min="9477" max="9478" width="13" style="14" customWidth="1"/>
    <col min="9479" max="9479" width="14.44140625" style="14" customWidth="1"/>
    <col min="9480" max="9480" width="15" style="14" customWidth="1"/>
    <col min="9481" max="9481" width="14.109375" style="14" customWidth="1"/>
    <col min="9482" max="9483" width="14.44140625" style="14" customWidth="1"/>
    <col min="9484" max="9484" width="14.21875" style="14" customWidth="1"/>
    <col min="9485" max="9485" width="13.88671875" style="14" customWidth="1"/>
    <col min="9486" max="9487" width="14.44140625" style="14" customWidth="1"/>
    <col min="9488" max="9488" width="15.44140625" style="14" customWidth="1"/>
    <col min="9489" max="9728" width="11.44140625" style="14"/>
    <col min="9729" max="9729" width="4.44140625" style="14" customWidth="1"/>
    <col min="9730" max="9730" width="7.77734375" style="14" customWidth="1"/>
    <col min="9731" max="9731" width="36.21875" style="14" customWidth="1"/>
    <col min="9732" max="9732" width="12.44140625" style="14" customWidth="1"/>
    <col min="9733" max="9734" width="13" style="14" customWidth="1"/>
    <col min="9735" max="9735" width="14.44140625" style="14" customWidth="1"/>
    <col min="9736" max="9736" width="15" style="14" customWidth="1"/>
    <col min="9737" max="9737" width="14.109375" style="14" customWidth="1"/>
    <col min="9738" max="9739" width="14.44140625" style="14" customWidth="1"/>
    <col min="9740" max="9740" width="14.21875" style="14" customWidth="1"/>
    <col min="9741" max="9741" width="13.88671875" style="14" customWidth="1"/>
    <col min="9742" max="9743" width="14.44140625" style="14" customWidth="1"/>
    <col min="9744" max="9744" width="15.44140625" style="14" customWidth="1"/>
    <col min="9745" max="9984" width="11.44140625" style="14"/>
    <col min="9985" max="9985" width="4.44140625" style="14" customWidth="1"/>
    <col min="9986" max="9986" width="7.77734375" style="14" customWidth="1"/>
    <col min="9987" max="9987" width="36.21875" style="14" customWidth="1"/>
    <col min="9988" max="9988" width="12.44140625" style="14" customWidth="1"/>
    <col min="9989" max="9990" width="13" style="14" customWidth="1"/>
    <col min="9991" max="9991" width="14.44140625" style="14" customWidth="1"/>
    <col min="9992" max="9992" width="15" style="14" customWidth="1"/>
    <col min="9993" max="9993" width="14.109375" style="14" customWidth="1"/>
    <col min="9994" max="9995" width="14.44140625" style="14" customWidth="1"/>
    <col min="9996" max="9996" width="14.21875" style="14" customWidth="1"/>
    <col min="9997" max="9997" width="13.88671875" style="14" customWidth="1"/>
    <col min="9998" max="9999" width="14.44140625" style="14" customWidth="1"/>
    <col min="10000" max="10000" width="15.44140625" style="14" customWidth="1"/>
    <col min="10001" max="10240" width="11.44140625" style="14"/>
    <col min="10241" max="10241" width="4.44140625" style="14" customWidth="1"/>
    <col min="10242" max="10242" width="7.77734375" style="14" customWidth="1"/>
    <col min="10243" max="10243" width="36.21875" style="14" customWidth="1"/>
    <col min="10244" max="10244" width="12.44140625" style="14" customWidth="1"/>
    <col min="10245" max="10246" width="13" style="14" customWidth="1"/>
    <col min="10247" max="10247" width="14.44140625" style="14" customWidth="1"/>
    <col min="10248" max="10248" width="15" style="14" customWidth="1"/>
    <col min="10249" max="10249" width="14.109375" style="14" customWidth="1"/>
    <col min="10250" max="10251" width="14.44140625" style="14" customWidth="1"/>
    <col min="10252" max="10252" width="14.21875" style="14" customWidth="1"/>
    <col min="10253" max="10253" width="13.88671875" style="14" customWidth="1"/>
    <col min="10254" max="10255" width="14.44140625" style="14" customWidth="1"/>
    <col min="10256" max="10256" width="15.44140625" style="14" customWidth="1"/>
    <col min="10257" max="10496" width="11.44140625" style="14"/>
    <col min="10497" max="10497" width="4.44140625" style="14" customWidth="1"/>
    <col min="10498" max="10498" width="7.77734375" style="14" customWidth="1"/>
    <col min="10499" max="10499" width="36.21875" style="14" customWidth="1"/>
    <col min="10500" max="10500" width="12.44140625" style="14" customWidth="1"/>
    <col min="10501" max="10502" width="13" style="14" customWidth="1"/>
    <col min="10503" max="10503" width="14.44140625" style="14" customWidth="1"/>
    <col min="10504" max="10504" width="15" style="14" customWidth="1"/>
    <col min="10505" max="10505" width="14.109375" style="14" customWidth="1"/>
    <col min="10506" max="10507" width="14.44140625" style="14" customWidth="1"/>
    <col min="10508" max="10508" width="14.21875" style="14" customWidth="1"/>
    <col min="10509" max="10509" width="13.88671875" style="14" customWidth="1"/>
    <col min="10510" max="10511" width="14.44140625" style="14" customWidth="1"/>
    <col min="10512" max="10512" width="15.44140625" style="14" customWidth="1"/>
    <col min="10513" max="10752" width="11.44140625" style="14"/>
    <col min="10753" max="10753" width="4.44140625" style="14" customWidth="1"/>
    <col min="10754" max="10754" width="7.77734375" style="14" customWidth="1"/>
    <col min="10755" max="10755" width="36.21875" style="14" customWidth="1"/>
    <col min="10756" max="10756" width="12.44140625" style="14" customWidth="1"/>
    <col min="10757" max="10758" width="13" style="14" customWidth="1"/>
    <col min="10759" max="10759" width="14.44140625" style="14" customWidth="1"/>
    <col min="10760" max="10760" width="15" style="14" customWidth="1"/>
    <col min="10761" max="10761" width="14.109375" style="14" customWidth="1"/>
    <col min="10762" max="10763" width="14.44140625" style="14" customWidth="1"/>
    <col min="10764" max="10764" width="14.21875" style="14" customWidth="1"/>
    <col min="10765" max="10765" width="13.88671875" style="14" customWidth="1"/>
    <col min="10766" max="10767" width="14.44140625" style="14" customWidth="1"/>
    <col min="10768" max="10768" width="15.44140625" style="14" customWidth="1"/>
    <col min="10769" max="11008" width="11.44140625" style="14"/>
    <col min="11009" max="11009" width="4.44140625" style="14" customWidth="1"/>
    <col min="11010" max="11010" width="7.77734375" style="14" customWidth="1"/>
    <col min="11011" max="11011" width="36.21875" style="14" customWidth="1"/>
    <col min="11012" max="11012" width="12.44140625" style="14" customWidth="1"/>
    <col min="11013" max="11014" width="13" style="14" customWidth="1"/>
    <col min="11015" max="11015" width="14.44140625" style="14" customWidth="1"/>
    <col min="11016" max="11016" width="15" style="14" customWidth="1"/>
    <col min="11017" max="11017" width="14.109375" style="14" customWidth="1"/>
    <col min="11018" max="11019" width="14.44140625" style="14" customWidth="1"/>
    <col min="11020" max="11020" width="14.21875" style="14" customWidth="1"/>
    <col min="11021" max="11021" width="13.88671875" style="14" customWidth="1"/>
    <col min="11022" max="11023" width="14.44140625" style="14" customWidth="1"/>
    <col min="11024" max="11024" width="15.44140625" style="14" customWidth="1"/>
    <col min="11025" max="11264" width="11.44140625" style="14"/>
    <col min="11265" max="11265" width="4.44140625" style="14" customWidth="1"/>
    <col min="11266" max="11266" width="7.77734375" style="14" customWidth="1"/>
    <col min="11267" max="11267" width="36.21875" style="14" customWidth="1"/>
    <col min="11268" max="11268" width="12.44140625" style="14" customWidth="1"/>
    <col min="11269" max="11270" width="13" style="14" customWidth="1"/>
    <col min="11271" max="11271" width="14.44140625" style="14" customWidth="1"/>
    <col min="11272" max="11272" width="15" style="14" customWidth="1"/>
    <col min="11273" max="11273" width="14.109375" style="14" customWidth="1"/>
    <col min="11274" max="11275" width="14.44140625" style="14" customWidth="1"/>
    <col min="11276" max="11276" width="14.21875" style="14" customWidth="1"/>
    <col min="11277" max="11277" width="13.88671875" style="14" customWidth="1"/>
    <col min="11278" max="11279" width="14.44140625" style="14" customWidth="1"/>
    <col min="11280" max="11280" width="15.44140625" style="14" customWidth="1"/>
    <col min="11281" max="11520" width="11.44140625" style="14"/>
    <col min="11521" max="11521" width="4.44140625" style="14" customWidth="1"/>
    <col min="11522" max="11522" width="7.77734375" style="14" customWidth="1"/>
    <col min="11523" max="11523" width="36.21875" style="14" customWidth="1"/>
    <col min="11524" max="11524" width="12.44140625" style="14" customWidth="1"/>
    <col min="11525" max="11526" width="13" style="14" customWidth="1"/>
    <col min="11527" max="11527" width="14.44140625" style="14" customWidth="1"/>
    <col min="11528" max="11528" width="15" style="14" customWidth="1"/>
    <col min="11529" max="11529" width="14.109375" style="14" customWidth="1"/>
    <col min="11530" max="11531" width="14.44140625" style="14" customWidth="1"/>
    <col min="11532" max="11532" width="14.21875" style="14" customWidth="1"/>
    <col min="11533" max="11533" width="13.88671875" style="14" customWidth="1"/>
    <col min="11534" max="11535" width="14.44140625" style="14" customWidth="1"/>
    <col min="11536" max="11536" width="15.44140625" style="14" customWidth="1"/>
    <col min="11537" max="11776" width="11.44140625" style="14"/>
    <col min="11777" max="11777" width="4.44140625" style="14" customWidth="1"/>
    <col min="11778" max="11778" width="7.77734375" style="14" customWidth="1"/>
    <col min="11779" max="11779" width="36.21875" style="14" customWidth="1"/>
    <col min="11780" max="11780" width="12.44140625" style="14" customWidth="1"/>
    <col min="11781" max="11782" width="13" style="14" customWidth="1"/>
    <col min="11783" max="11783" width="14.44140625" style="14" customWidth="1"/>
    <col min="11784" max="11784" width="15" style="14" customWidth="1"/>
    <col min="11785" max="11785" width="14.109375" style="14" customWidth="1"/>
    <col min="11786" max="11787" width="14.44140625" style="14" customWidth="1"/>
    <col min="11788" max="11788" width="14.21875" style="14" customWidth="1"/>
    <col min="11789" max="11789" width="13.88671875" style="14" customWidth="1"/>
    <col min="11790" max="11791" width="14.44140625" style="14" customWidth="1"/>
    <col min="11792" max="11792" width="15.44140625" style="14" customWidth="1"/>
    <col min="11793" max="12032" width="11.44140625" style="14"/>
    <col min="12033" max="12033" width="4.44140625" style="14" customWidth="1"/>
    <col min="12034" max="12034" width="7.77734375" style="14" customWidth="1"/>
    <col min="12035" max="12035" width="36.21875" style="14" customWidth="1"/>
    <col min="12036" max="12036" width="12.44140625" style="14" customWidth="1"/>
    <col min="12037" max="12038" width="13" style="14" customWidth="1"/>
    <col min="12039" max="12039" width="14.44140625" style="14" customWidth="1"/>
    <col min="12040" max="12040" width="15" style="14" customWidth="1"/>
    <col min="12041" max="12041" width="14.109375" style="14" customWidth="1"/>
    <col min="12042" max="12043" width="14.44140625" style="14" customWidth="1"/>
    <col min="12044" max="12044" width="14.21875" style="14" customWidth="1"/>
    <col min="12045" max="12045" width="13.88671875" style="14" customWidth="1"/>
    <col min="12046" max="12047" width="14.44140625" style="14" customWidth="1"/>
    <col min="12048" max="12048" width="15.44140625" style="14" customWidth="1"/>
    <col min="12049" max="12288" width="11.44140625" style="14"/>
    <col min="12289" max="12289" width="4.44140625" style="14" customWidth="1"/>
    <col min="12290" max="12290" width="7.77734375" style="14" customWidth="1"/>
    <col min="12291" max="12291" width="36.21875" style="14" customWidth="1"/>
    <col min="12292" max="12292" width="12.44140625" style="14" customWidth="1"/>
    <col min="12293" max="12294" width="13" style="14" customWidth="1"/>
    <col min="12295" max="12295" width="14.44140625" style="14" customWidth="1"/>
    <col min="12296" max="12296" width="15" style="14" customWidth="1"/>
    <col min="12297" max="12297" width="14.109375" style="14" customWidth="1"/>
    <col min="12298" max="12299" width="14.44140625" style="14" customWidth="1"/>
    <col min="12300" max="12300" width="14.21875" style="14" customWidth="1"/>
    <col min="12301" max="12301" width="13.88671875" style="14" customWidth="1"/>
    <col min="12302" max="12303" width="14.44140625" style="14" customWidth="1"/>
    <col min="12304" max="12304" width="15.44140625" style="14" customWidth="1"/>
    <col min="12305" max="12544" width="11.44140625" style="14"/>
    <col min="12545" max="12545" width="4.44140625" style="14" customWidth="1"/>
    <col min="12546" max="12546" width="7.77734375" style="14" customWidth="1"/>
    <col min="12547" max="12547" width="36.21875" style="14" customWidth="1"/>
    <col min="12548" max="12548" width="12.44140625" style="14" customWidth="1"/>
    <col min="12549" max="12550" width="13" style="14" customWidth="1"/>
    <col min="12551" max="12551" width="14.44140625" style="14" customWidth="1"/>
    <col min="12552" max="12552" width="15" style="14" customWidth="1"/>
    <col min="12553" max="12553" width="14.109375" style="14" customWidth="1"/>
    <col min="12554" max="12555" width="14.44140625" style="14" customWidth="1"/>
    <col min="12556" max="12556" width="14.21875" style="14" customWidth="1"/>
    <col min="12557" max="12557" width="13.88671875" style="14" customWidth="1"/>
    <col min="12558" max="12559" width="14.44140625" style="14" customWidth="1"/>
    <col min="12560" max="12560" width="15.44140625" style="14" customWidth="1"/>
    <col min="12561" max="12800" width="11.44140625" style="14"/>
    <col min="12801" max="12801" width="4.44140625" style="14" customWidth="1"/>
    <col min="12802" max="12802" width="7.77734375" style="14" customWidth="1"/>
    <col min="12803" max="12803" width="36.21875" style="14" customWidth="1"/>
    <col min="12804" max="12804" width="12.44140625" style="14" customWidth="1"/>
    <col min="12805" max="12806" width="13" style="14" customWidth="1"/>
    <col min="12807" max="12807" width="14.44140625" style="14" customWidth="1"/>
    <col min="12808" max="12808" width="15" style="14" customWidth="1"/>
    <col min="12809" max="12809" width="14.109375" style="14" customWidth="1"/>
    <col min="12810" max="12811" width="14.44140625" style="14" customWidth="1"/>
    <col min="12812" max="12812" width="14.21875" style="14" customWidth="1"/>
    <col min="12813" max="12813" width="13.88671875" style="14" customWidth="1"/>
    <col min="12814" max="12815" width="14.44140625" style="14" customWidth="1"/>
    <col min="12816" max="12816" width="15.44140625" style="14" customWidth="1"/>
    <col min="12817" max="13056" width="11.44140625" style="14"/>
    <col min="13057" max="13057" width="4.44140625" style="14" customWidth="1"/>
    <col min="13058" max="13058" width="7.77734375" style="14" customWidth="1"/>
    <col min="13059" max="13059" width="36.21875" style="14" customWidth="1"/>
    <col min="13060" max="13060" width="12.44140625" style="14" customWidth="1"/>
    <col min="13061" max="13062" width="13" style="14" customWidth="1"/>
    <col min="13063" max="13063" width="14.44140625" style="14" customWidth="1"/>
    <col min="13064" max="13064" width="15" style="14" customWidth="1"/>
    <col min="13065" max="13065" width="14.109375" style="14" customWidth="1"/>
    <col min="13066" max="13067" width="14.44140625" style="14" customWidth="1"/>
    <col min="13068" max="13068" width="14.21875" style="14" customWidth="1"/>
    <col min="13069" max="13069" width="13.88671875" style="14" customWidth="1"/>
    <col min="13070" max="13071" width="14.44140625" style="14" customWidth="1"/>
    <col min="13072" max="13072" width="15.44140625" style="14" customWidth="1"/>
    <col min="13073" max="13312" width="11.44140625" style="14"/>
    <col min="13313" max="13313" width="4.44140625" style="14" customWidth="1"/>
    <col min="13314" max="13314" width="7.77734375" style="14" customWidth="1"/>
    <col min="13315" max="13315" width="36.21875" style="14" customWidth="1"/>
    <col min="13316" max="13316" width="12.44140625" style="14" customWidth="1"/>
    <col min="13317" max="13318" width="13" style="14" customWidth="1"/>
    <col min="13319" max="13319" width="14.44140625" style="14" customWidth="1"/>
    <col min="13320" max="13320" width="15" style="14" customWidth="1"/>
    <col min="13321" max="13321" width="14.109375" style="14" customWidth="1"/>
    <col min="13322" max="13323" width="14.44140625" style="14" customWidth="1"/>
    <col min="13324" max="13324" width="14.21875" style="14" customWidth="1"/>
    <col min="13325" max="13325" width="13.88671875" style="14" customWidth="1"/>
    <col min="13326" max="13327" width="14.44140625" style="14" customWidth="1"/>
    <col min="13328" max="13328" width="15.44140625" style="14" customWidth="1"/>
    <col min="13329" max="13568" width="11.44140625" style="14"/>
    <col min="13569" max="13569" width="4.44140625" style="14" customWidth="1"/>
    <col min="13570" max="13570" width="7.77734375" style="14" customWidth="1"/>
    <col min="13571" max="13571" width="36.21875" style="14" customWidth="1"/>
    <col min="13572" max="13572" width="12.44140625" style="14" customWidth="1"/>
    <col min="13573" max="13574" width="13" style="14" customWidth="1"/>
    <col min="13575" max="13575" width="14.44140625" style="14" customWidth="1"/>
    <col min="13576" max="13576" width="15" style="14" customWidth="1"/>
    <col min="13577" max="13577" width="14.109375" style="14" customWidth="1"/>
    <col min="13578" max="13579" width="14.44140625" style="14" customWidth="1"/>
    <col min="13580" max="13580" width="14.21875" style="14" customWidth="1"/>
    <col min="13581" max="13581" width="13.88671875" style="14" customWidth="1"/>
    <col min="13582" max="13583" width="14.44140625" style="14" customWidth="1"/>
    <col min="13584" max="13584" width="15.44140625" style="14" customWidth="1"/>
    <col min="13585" max="13824" width="11.44140625" style="14"/>
    <col min="13825" max="13825" width="4.44140625" style="14" customWidth="1"/>
    <col min="13826" max="13826" width="7.77734375" style="14" customWidth="1"/>
    <col min="13827" max="13827" width="36.21875" style="14" customWidth="1"/>
    <col min="13828" max="13828" width="12.44140625" style="14" customWidth="1"/>
    <col min="13829" max="13830" width="13" style="14" customWidth="1"/>
    <col min="13831" max="13831" width="14.44140625" style="14" customWidth="1"/>
    <col min="13832" max="13832" width="15" style="14" customWidth="1"/>
    <col min="13833" max="13833" width="14.109375" style="14" customWidth="1"/>
    <col min="13834" max="13835" width="14.44140625" style="14" customWidth="1"/>
    <col min="13836" max="13836" width="14.21875" style="14" customWidth="1"/>
    <col min="13837" max="13837" width="13.88671875" style="14" customWidth="1"/>
    <col min="13838" max="13839" width="14.44140625" style="14" customWidth="1"/>
    <col min="13840" max="13840" width="15.44140625" style="14" customWidth="1"/>
    <col min="13841" max="14080" width="11.44140625" style="14"/>
    <col min="14081" max="14081" width="4.44140625" style="14" customWidth="1"/>
    <col min="14082" max="14082" width="7.77734375" style="14" customWidth="1"/>
    <col min="14083" max="14083" width="36.21875" style="14" customWidth="1"/>
    <col min="14084" max="14084" width="12.44140625" style="14" customWidth="1"/>
    <col min="14085" max="14086" width="13" style="14" customWidth="1"/>
    <col min="14087" max="14087" width="14.44140625" style="14" customWidth="1"/>
    <col min="14088" max="14088" width="15" style="14" customWidth="1"/>
    <col min="14089" max="14089" width="14.109375" style="14" customWidth="1"/>
    <col min="14090" max="14091" width="14.44140625" style="14" customWidth="1"/>
    <col min="14092" max="14092" width="14.21875" style="14" customWidth="1"/>
    <col min="14093" max="14093" width="13.88671875" style="14" customWidth="1"/>
    <col min="14094" max="14095" width="14.44140625" style="14" customWidth="1"/>
    <col min="14096" max="14096" width="15.44140625" style="14" customWidth="1"/>
    <col min="14097" max="14336" width="11.44140625" style="14"/>
    <col min="14337" max="14337" width="4.44140625" style="14" customWidth="1"/>
    <col min="14338" max="14338" width="7.77734375" style="14" customWidth="1"/>
    <col min="14339" max="14339" width="36.21875" style="14" customWidth="1"/>
    <col min="14340" max="14340" width="12.44140625" style="14" customWidth="1"/>
    <col min="14341" max="14342" width="13" style="14" customWidth="1"/>
    <col min="14343" max="14343" width="14.44140625" style="14" customWidth="1"/>
    <col min="14344" max="14344" width="15" style="14" customWidth="1"/>
    <col min="14345" max="14345" width="14.109375" style="14" customWidth="1"/>
    <col min="14346" max="14347" width="14.44140625" style="14" customWidth="1"/>
    <col min="14348" max="14348" width="14.21875" style="14" customWidth="1"/>
    <col min="14349" max="14349" width="13.88671875" style="14" customWidth="1"/>
    <col min="14350" max="14351" width="14.44140625" style="14" customWidth="1"/>
    <col min="14352" max="14352" width="15.44140625" style="14" customWidth="1"/>
    <col min="14353" max="14592" width="11.44140625" style="14"/>
    <col min="14593" max="14593" width="4.44140625" style="14" customWidth="1"/>
    <col min="14594" max="14594" width="7.77734375" style="14" customWidth="1"/>
    <col min="14595" max="14595" width="36.21875" style="14" customWidth="1"/>
    <col min="14596" max="14596" width="12.44140625" style="14" customWidth="1"/>
    <col min="14597" max="14598" width="13" style="14" customWidth="1"/>
    <col min="14599" max="14599" width="14.44140625" style="14" customWidth="1"/>
    <col min="14600" max="14600" width="15" style="14" customWidth="1"/>
    <col min="14601" max="14601" width="14.109375" style="14" customWidth="1"/>
    <col min="14602" max="14603" width="14.44140625" style="14" customWidth="1"/>
    <col min="14604" max="14604" width="14.21875" style="14" customWidth="1"/>
    <col min="14605" max="14605" width="13.88671875" style="14" customWidth="1"/>
    <col min="14606" max="14607" width="14.44140625" style="14" customWidth="1"/>
    <col min="14608" max="14608" width="15.44140625" style="14" customWidth="1"/>
    <col min="14609" max="14848" width="11.44140625" style="14"/>
    <col min="14849" max="14849" width="4.44140625" style="14" customWidth="1"/>
    <col min="14850" max="14850" width="7.77734375" style="14" customWidth="1"/>
    <col min="14851" max="14851" width="36.21875" style="14" customWidth="1"/>
    <col min="14852" max="14852" width="12.44140625" style="14" customWidth="1"/>
    <col min="14853" max="14854" width="13" style="14" customWidth="1"/>
    <col min="14855" max="14855" width="14.44140625" style="14" customWidth="1"/>
    <col min="14856" max="14856" width="15" style="14" customWidth="1"/>
    <col min="14857" max="14857" width="14.109375" style="14" customWidth="1"/>
    <col min="14858" max="14859" width="14.44140625" style="14" customWidth="1"/>
    <col min="14860" max="14860" width="14.21875" style="14" customWidth="1"/>
    <col min="14861" max="14861" width="13.88671875" style="14" customWidth="1"/>
    <col min="14862" max="14863" width="14.44140625" style="14" customWidth="1"/>
    <col min="14864" max="14864" width="15.44140625" style="14" customWidth="1"/>
    <col min="14865" max="15104" width="11.44140625" style="14"/>
    <col min="15105" max="15105" width="4.44140625" style="14" customWidth="1"/>
    <col min="15106" max="15106" width="7.77734375" style="14" customWidth="1"/>
    <col min="15107" max="15107" width="36.21875" style="14" customWidth="1"/>
    <col min="15108" max="15108" width="12.44140625" style="14" customWidth="1"/>
    <col min="15109" max="15110" width="13" style="14" customWidth="1"/>
    <col min="15111" max="15111" width="14.44140625" style="14" customWidth="1"/>
    <col min="15112" max="15112" width="15" style="14" customWidth="1"/>
    <col min="15113" max="15113" width="14.109375" style="14" customWidth="1"/>
    <col min="15114" max="15115" width="14.44140625" style="14" customWidth="1"/>
    <col min="15116" max="15116" width="14.21875" style="14" customWidth="1"/>
    <col min="15117" max="15117" width="13.88671875" style="14" customWidth="1"/>
    <col min="15118" max="15119" width="14.44140625" style="14" customWidth="1"/>
    <col min="15120" max="15120" width="15.44140625" style="14" customWidth="1"/>
    <col min="15121" max="15360" width="11.44140625" style="14"/>
    <col min="15361" max="15361" width="4.44140625" style="14" customWidth="1"/>
    <col min="15362" max="15362" width="7.77734375" style="14" customWidth="1"/>
    <col min="15363" max="15363" width="36.21875" style="14" customWidth="1"/>
    <col min="15364" max="15364" width="12.44140625" style="14" customWidth="1"/>
    <col min="15365" max="15366" width="13" style="14" customWidth="1"/>
    <col min="15367" max="15367" width="14.44140625" style="14" customWidth="1"/>
    <col min="15368" max="15368" width="15" style="14" customWidth="1"/>
    <col min="15369" max="15369" width="14.109375" style="14" customWidth="1"/>
    <col min="15370" max="15371" width="14.44140625" style="14" customWidth="1"/>
    <col min="15372" max="15372" width="14.21875" style="14" customWidth="1"/>
    <col min="15373" max="15373" width="13.88671875" style="14" customWidth="1"/>
    <col min="15374" max="15375" width="14.44140625" style="14" customWidth="1"/>
    <col min="15376" max="15376" width="15.44140625" style="14" customWidth="1"/>
    <col min="15377" max="15616" width="11.44140625" style="14"/>
    <col min="15617" max="15617" width="4.44140625" style="14" customWidth="1"/>
    <col min="15618" max="15618" width="7.77734375" style="14" customWidth="1"/>
    <col min="15619" max="15619" width="36.21875" style="14" customWidth="1"/>
    <col min="15620" max="15620" width="12.44140625" style="14" customWidth="1"/>
    <col min="15621" max="15622" width="13" style="14" customWidth="1"/>
    <col min="15623" max="15623" width="14.44140625" style="14" customWidth="1"/>
    <col min="15624" max="15624" width="15" style="14" customWidth="1"/>
    <col min="15625" max="15625" width="14.109375" style="14" customWidth="1"/>
    <col min="15626" max="15627" width="14.44140625" style="14" customWidth="1"/>
    <col min="15628" max="15628" width="14.21875" style="14" customWidth="1"/>
    <col min="15629" max="15629" width="13.88671875" style="14" customWidth="1"/>
    <col min="15630" max="15631" width="14.44140625" style="14" customWidth="1"/>
    <col min="15632" max="15632" width="15.44140625" style="14" customWidth="1"/>
    <col min="15633" max="15872" width="11.44140625" style="14"/>
    <col min="15873" max="15873" width="4.44140625" style="14" customWidth="1"/>
    <col min="15874" max="15874" width="7.77734375" style="14" customWidth="1"/>
    <col min="15875" max="15875" width="36.21875" style="14" customWidth="1"/>
    <col min="15876" max="15876" width="12.44140625" style="14" customWidth="1"/>
    <col min="15877" max="15878" width="13" style="14" customWidth="1"/>
    <col min="15879" max="15879" width="14.44140625" style="14" customWidth="1"/>
    <col min="15880" max="15880" width="15" style="14" customWidth="1"/>
    <col min="15881" max="15881" width="14.109375" style="14" customWidth="1"/>
    <col min="15882" max="15883" width="14.44140625" style="14" customWidth="1"/>
    <col min="15884" max="15884" width="14.21875" style="14" customWidth="1"/>
    <col min="15885" max="15885" width="13.88671875" style="14" customWidth="1"/>
    <col min="15886" max="15887" width="14.44140625" style="14" customWidth="1"/>
    <col min="15888" max="15888" width="15.44140625" style="14" customWidth="1"/>
    <col min="15889" max="16128" width="11.44140625" style="14"/>
    <col min="16129" max="16129" width="4.44140625" style="14" customWidth="1"/>
    <col min="16130" max="16130" width="7.77734375" style="14" customWidth="1"/>
    <col min="16131" max="16131" width="36.21875" style="14" customWidth="1"/>
    <col min="16132" max="16132" width="12.44140625" style="14" customWidth="1"/>
    <col min="16133" max="16134" width="13" style="14" customWidth="1"/>
    <col min="16135" max="16135" width="14.44140625" style="14" customWidth="1"/>
    <col min="16136" max="16136" width="15" style="14" customWidth="1"/>
    <col min="16137" max="16137" width="14.109375" style="14" customWidth="1"/>
    <col min="16138" max="16139" width="14.44140625" style="14" customWidth="1"/>
    <col min="16140" max="16140" width="14.21875" style="14" customWidth="1"/>
    <col min="16141" max="16141" width="13.88671875" style="14" customWidth="1"/>
    <col min="16142" max="16143" width="14.44140625" style="14" customWidth="1"/>
    <col min="16144" max="16144" width="15.44140625" style="14" customWidth="1"/>
    <col min="16145" max="16384" width="11.44140625" style="14"/>
  </cols>
  <sheetData>
    <row r="1" spans="2:16" ht="15.6" outlineLevel="1" x14ac:dyDescent="0.3">
      <c r="B1" s="1"/>
      <c r="C1" s="2" t="s">
        <v>0</v>
      </c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outlineLevel="1" x14ac:dyDescent="0.25">
      <c r="B2" s="1"/>
      <c r="C2" s="5" t="s">
        <v>1</v>
      </c>
      <c r="D2" s="49" t="s">
        <v>27</v>
      </c>
      <c r="E2" s="49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2:16" outlineLevel="1" x14ac:dyDescent="0.25">
      <c r="B3" s="1"/>
      <c r="C3" s="5" t="s">
        <v>2</v>
      </c>
      <c r="D3" s="49" t="s">
        <v>28</v>
      </c>
      <c r="E3" s="49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2:16" outlineLevel="1" x14ac:dyDescent="0.25">
      <c r="B4" s="1"/>
      <c r="C4" s="6" t="s">
        <v>3</v>
      </c>
      <c r="D4" s="50">
        <v>3</v>
      </c>
      <c r="E4" s="50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6" outlineLevel="1" x14ac:dyDescent="0.25">
      <c r="B5" s="1"/>
      <c r="C5" s="5" t="s">
        <v>4</v>
      </c>
      <c r="D5" s="50">
        <v>1</v>
      </c>
      <c r="E5" s="50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2:16" outlineLevel="1" x14ac:dyDescent="0.25">
      <c r="B6" s="1"/>
      <c r="C6" s="5" t="s">
        <v>5</v>
      </c>
      <c r="D6" s="50" t="s">
        <v>6</v>
      </c>
      <c r="E6" s="50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outlineLevel="1" x14ac:dyDescent="0.25">
      <c r="B7" s="1"/>
      <c r="C7" s="5" t="s">
        <v>7</v>
      </c>
      <c r="D7" s="51" t="s">
        <v>8</v>
      </c>
      <c r="E7" s="5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2:16" outlineLevel="1" x14ac:dyDescent="0.25">
      <c r="B8" s="1"/>
      <c r="C8" s="5" t="s">
        <v>9</v>
      </c>
      <c r="D8" s="51">
        <v>2015</v>
      </c>
      <c r="E8" s="5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2:16" outlineLevel="1" x14ac:dyDescent="0.25">
      <c r="B9" s="1"/>
      <c r="C9" s="5" t="s">
        <v>29</v>
      </c>
      <c r="D9" s="52">
        <v>10</v>
      </c>
      <c r="E9" s="52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2:16" outlineLevel="1" x14ac:dyDescent="0.25">
      <c r="B10" s="1"/>
      <c r="C10" s="5" t="s">
        <v>30</v>
      </c>
      <c r="D10" s="52">
        <v>10</v>
      </c>
      <c r="E10" s="5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2:16" outlineLevel="1" x14ac:dyDescent="0.25">
      <c r="B11" s="1"/>
      <c r="C11" s="6" t="s">
        <v>26</v>
      </c>
      <c r="D11" s="53"/>
      <c r="E11" s="5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2:16" ht="15.6" outlineLevel="1" x14ac:dyDescent="0.3">
      <c r="B12" s="1"/>
      <c r="C12" s="2" t="s">
        <v>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2:16" ht="14.4" outlineLevel="1" x14ac:dyDescent="0.3">
      <c r="C13"/>
      <c r="D13"/>
      <c r="E1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2:16" ht="15.6" x14ac:dyDescent="0.25">
      <c r="B14" s="54" t="str">
        <f>[1]!nomcia()</f>
        <v/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</row>
    <row r="15" spans="2:16" ht="26.25" customHeight="1" x14ac:dyDescent="0.25">
      <c r="B15" s="48" t="s">
        <v>31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</row>
    <row r="16" spans="2:16" ht="12" customHeight="1" x14ac:dyDescent="0.25"/>
    <row r="17" spans="2:16" ht="26.4" customHeight="1" thickBot="1" x14ac:dyDescent="0.35">
      <c r="C17"/>
      <c r="D17" s="7">
        <v>1</v>
      </c>
      <c r="E17" s="7">
        <v>2</v>
      </c>
      <c r="F17" s="7">
        <v>3</v>
      </c>
      <c r="G17" s="7">
        <v>4</v>
      </c>
      <c r="H17" s="7">
        <v>5</v>
      </c>
      <c r="I17" s="7">
        <v>6</v>
      </c>
      <c r="J17" s="7">
        <v>7</v>
      </c>
      <c r="K17" s="7">
        <v>8</v>
      </c>
      <c r="L17" s="7">
        <v>9</v>
      </c>
      <c r="M17" s="7">
        <v>10</v>
      </c>
      <c r="N17" s="7">
        <v>11</v>
      </c>
      <c r="O17" s="7">
        <v>12</v>
      </c>
    </row>
    <row r="18" spans="2:16" ht="18" customHeight="1" thickBot="1" x14ac:dyDescent="0.3">
      <c r="B18" s="8" t="s">
        <v>11</v>
      </c>
      <c r="C18" s="8" t="s">
        <v>12</v>
      </c>
      <c r="D18" s="8" t="s">
        <v>13</v>
      </c>
      <c r="E18" s="8" t="s">
        <v>14</v>
      </c>
      <c r="F18" s="8" t="s">
        <v>15</v>
      </c>
      <c r="G18" s="8" t="s">
        <v>16</v>
      </c>
      <c r="H18" s="9" t="s">
        <v>17</v>
      </c>
      <c r="I18" s="10" t="s">
        <v>18</v>
      </c>
      <c r="J18" s="11" t="s">
        <v>19</v>
      </c>
      <c r="K18" s="8" t="s">
        <v>20</v>
      </c>
      <c r="L18" s="8" t="s">
        <v>21</v>
      </c>
      <c r="M18" s="8" t="s">
        <v>22</v>
      </c>
      <c r="N18" s="8" t="s">
        <v>23</v>
      </c>
      <c r="O18" s="8" t="s">
        <v>24</v>
      </c>
      <c r="P18" s="12" t="s">
        <v>25</v>
      </c>
    </row>
    <row r="19" spans="2:16" x14ac:dyDescent="0.25">
      <c r="D19" s="18" t="s">
        <v>32</v>
      </c>
      <c r="E19" s="18"/>
      <c r="F19" s="18"/>
      <c r="G19" s="18"/>
      <c r="H19" s="19"/>
      <c r="I19" s="18"/>
      <c r="J19" s="18"/>
      <c r="K19" s="18"/>
      <c r="L19" s="18"/>
      <c r="M19" s="18"/>
      <c r="N19" s="18"/>
      <c r="O19" s="18"/>
      <c r="P19" s="15"/>
    </row>
    <row r="20" spans="2:16" ht="15" customHeight="1" x14ac:dyDescent="0.25">
      <c r="C20" s="20" t="s">
        <v>33</v>
      </c>
      <c r="H20" s="21"/>
    </row>
    <row r="21" spans="2:16" ht="15" customHeight="1" x14ac:dyDescent="0.25">
      <c r="B21" s="22">
        <v>401</v>
      </c>
      <c r="C21" s="23" t="s">
        <v>34</v>
      </c>
      <c r="D21" s="13" t="e">
        <f>[1]!SaldoContableCuentaCadena($B$21,D$17,$D$6,$D$7,$D$8)</f>
        <v>#VALUE!</v>
      </c>
      <c r="E21" s="13" t="e">
        <f>[1]!SaldoContableCuentaCadena($B$21,E$17,$D$6,$D$7,$D$8)</f>
        <v>#VALUE!</v>
      </c>
      <c r="F21" s="13" t="e">
        <f>[1]!SaldoContableCuentaCadena($B$21,F$17,$D$6,$D$7,$D$8)</f>
        <v>#VALUE!</v>
      </c>
      <c r="G21" s="13" t="e">
        <f>[1]!SaldoContableCuentaCadena($B$21,G$17,$D$6,$D$7,$D$8)</f>
        <v>#VALUE!</v>
      </c>
      <c r="H21" s="13" t="e">
        <f>[1]!SaldoContableCuentaCadena($B$21,H$17,$D$6,$D$7,$D$8)</f>
        <v>#VALUE!</v>
      </c>
      <c r="I21" s="13" t="e">
        <f>[1]!SaldoContableCuentaCadena($B$21,I$17,$D$6,$D$7,$D$8)</f>
        <v>#VALUE!</v>
      </c>
      <c r="J21" s="13" t="e">
        <f>[1]!SaldoContableCuentaCadena($B$21,J$17,$D$6,$D$7,$D$8)</f>
        <v>#VALUE!</v>
      </c>
      <c r="K21" s="13" t="e">
        <f>[1]!SaldoContableCuentaCadena($B$21,K$17,$D$6,$D$7,$D$8)</f>
        <v>#VALUE!</v>
      </c>
      <c r="L21" s="13" t="e">
        <f>[1]!SaldoContableCuentaCadena($B$21,L$17,$D$6,$D$7,$D$8)</f>
        <v>#VALUE!</v>
      </c>
      <c r="M21" s="13" t="e">
        <f>[1]!SaldoContableCuentaCadena($B$21,M$17,$D$6,$D$7,$D$8)</f>
        <v>#VALUE!</v>
      </c>
      <c r="N21" s="13" t="e">
        <f>[1]!SaldoContableCuentaCadena($B$21,N$17,$D$6,$D$7,$D$8)</f>
        <v>#VALUE!</v>
      </c>
      <c r="O21" s="13" t="e">
        <f>[1]!SaldoContableCuentaCadena($B$21,O$17,$D$6,$D$7,$D$8)</f>
        <v>#VALUE!</v>
      </c>
      <c r="P21" s="24" t="e">
        <f>SUM(D21:O21)</f>
        <v>#VALUE!</v>
      </c>
    </row>
    <row r="22" spans="2:16" ht="15" customHeight="1" x14ac:dyDescent="0.25">
      <c r="B22" s="22">
        <v>704</v>
      </c>
      <c r="C22" s="23" t="s">
        <v>35</v>
      </c>
      <c r="D22" s="13" t="e">
        <f>[1]!SaldoContableCuentaCadena($B$22,D$17,$D$6,$D$7,$D$8)</f>
        <v>#VALUE!</v>
      </c>
      <c r="E22" s="13" t="e">
        <f>[1]!SaldoContableCuentaCadena($B$22,E$17,$D$6,$D$7,$D$8)</f>
        <v>#VALUE!</v>
      </c>
      <c r="F22" s="13" t="e">
        <f>[1]!SaldoContableCuentaCadena($B$22,F$17,$D$6,$D$7,$D$8)</f>
        <v>#VALUE!</v>
      </c>
      <c r="G22" s="13" t="e">
        <f>[1]!SaldoContableCuentaCadena($B$22,G$17,$D$6,$D$7,$D$8)</f>
        <v>#VALUE!</v>
      </c>
      <c r="H22" s="13" t="e">
        <f>[1]!SaldoContableCuentaCadena($B$22,H$17,$D$6,$D$7,$D$8)</f>
        <v>#VALUE!</v>
      </c>
      <c r="I22" s="13" t="e">
        <f>[1]!SaldoContableCuentaCadena($B$22,I$17,$D$6,$D$7,$D$8)</f>
        <v>#VALUE!</v>
      </c>
      <c r="J22" s="13" t="e">
        <f>[1]!SaldoContableCuentaCadena($B$22,J$17,$D$6,$D$7,$D$8)</f>
        <v>#VALUE!</v>
      </c>
      <c r="K22" s="13" t="e">
        <f>[1]!SaldoContableCuentaCadena($B$22,K$17,$D$6,$D$7,$D$8)</f>
        <v>#VALUE!</v>
      </c>
      <c r="L22" s="13" t="e">
        <f>[1]!SaldoContableCuentaCadena($B$22,L$17,$D$6,$D$7,$D$8)</f>
        <v>#VALUE!</v>
      </c>
      <c r="M22" s="13" t="e">
        <f>[1]!SaldoContableCuentaCadena($B$22,M$17,$D$6,$D$7,$D$8)</f>
        <v>#VALUE!</v>
      </c>
      <c r="N22" s="13" t="e">
        <f>[1]!SaldoContableCuentaCadena($B$22,N$17,$D$6,$D$7,$D$8)</f>
        <v>#VALUE!</v>
      </c>
      <c r="O22" s="13" t="e">
        <f>[1]!SaldoContableCuentaCadena($B$22,O$17,$D$6,$D$7,$D$8)</f>
        <v>#VALUE!</v>
      </c>
      <c r="P22" s="24" t="e">
        <f>SUM(D22:O22)</f>
        <v>#VALUE!</v>
      </c>
    </row>
    <row r="23" spans="2:16" ht="15" customHeight="1" x14ac:dyDescent="0.25">
      <c r="B23" s="22">
        <v>120</v>
      </c>
      <c r="C23" s="23" t="s">
        <v>36</v>
      </c>
      <c r="D23" s="13" t="e">
        <f>[1]!SaldoContableCuentaCadena($B$23,D$17,$D$6,$D$7,$D$8)</f>
        <v>#VALUE!</v>
      </c>
      <c r="E23" s="13" t="e">
        <f>[1]!SaldoContableCuentaCadena($B$23,E$17,$D$6,$D$7,$D$8)</f>
        <v>#VALUE!</v>
      </c>
      <c r="F23" s="13" t="e">
        <f>[1]!SaldoContableCuentaCadena($B$23,F$17,$D$6,$D$7,$D$8)</f>
        <v>#VALUE!</v>
      </c>
      <c r="G23" s="13" t="e">
        <f>[1]!SaldoContableCuentaCadena($B$23,G$17,$D$6,$D$7,$D$8)</f>
        <v>#VALUE!</v>
      </c>
      <c r="H23" s="13" t="e">
        <f>[1]!SaldoContableCuentaCadena($B$23,H$17,$D$6,$D$7,$D$8)</f>
        <v>#VALUE!</v>
      </c>
      <c r="I23" s="13" t="e">
        <f>[1]!SaldoContableCuentaCadena($B$23,I$17,$D$6,$D$7,$D$8)</f>
        <v>#VALUE!</v>
      </c>
      <c r="J23" s="13" t="e">
        <f>[1]!SaldoContableCuentaCadena($B$23,J$17,$D$6,$D$7,$D$8)</f>
        <v>#VALUE!</v>
      </c>
      <c r="K23" s="13" t="e">
        <f>[1]!SaldoContableCuentaCadena($B$23,K$17,$D$6,$D$7,$D$8)</f>
        <v>#VALUE!</v>
      </c>
      <c r="L23" s="13" t="e">
        <f>[1]!SaldoContableCuentaCadena($B$23,L$17,$D$6,$D$7,$D$8)</f>
        <v>#VALUE!</v>
      </c>
      <c r="M23" s="13" t="e">
        <f>[1]!SaldoContableCuentaCadena($B$23,M$17,$D$6,$D$7,$D$8)</f>
        <v>#VALUE!</v>
      </c>
      <c r="N23" s="13" t="e">
        <f>[1]!SaldoContableCuentaCadena($B$23,N$17,$D$6,$D$7,$D$8)</f>
        <v>#VALUE!</v>
      </c>
      <c r="O23" s="13" t="e">
        <f>[1]!SaldoContableCuentaCadena($B$23,O$17,$D$6,$D$7,$D$8)</f>
        <v>#VALUE!</v>
      </c>
      <c r="P23" s="24" t="e">
        <f>SUM(D23:O23)</f>
        <v>#VALUE!</v>
      </c>
    </row>
    <row r="24" spans="2:16" ht="15" customHeight="1" x14ac:dyDescent="0.25">
      <c r="B24" s="22">
        <v>403</v>
      </c>
      <c r="C24" s="23" t="s">
        <v>37</v>
      </c>
      <c r="D24" s="13" t="e">
        <f>[1]!SaldoContableCuentaCadena($B$24,D$17,$D$6,$D$7,$D$8)</f>
        <v>#VALUE!</v>
      </c>
      <c r="E24" s="13" t="e">
        <f>[1]!SaldoContableCuentaCadena($B$24,E$17,$D$6,$D$7,$D$8)</f>
        <v>#VALUE!</v>
      </c>
      <c r="F24" s="13" t="e">
        <f>[1]!SaldoContableCuentaCadena($B$24,F$17,$D$6,$D$7,$D$8)</f>
        <v>#VALUE!</v>
      </c>
      <c r="G24" s="13" t="e">
        <f>[1]!SaldoContableCuentaCadena($B$24,G$17,$D$6,$D$7,$D$8)</f>
        <v>#VALUE!</v>
      </c>
      <c r="H24" s="13" t="e">
        <f>[1]!SaldoContableCuentaCadena($B$24,H$17,$D$6,$D$7,$D$8)</f>
        <v>#VALUE!</v>
      </c>
      <c r="I24" s="13" t="e">
        <f>[1]!SaldoContableCuentaCadena($B$24,I$17,$D$6,$D$7,$D$8)</f>
        <v>#VALUE!</v>
      </c>
      <c r="J24" s="13" t="e">
        <f>[1]!SaldoContableCuentaCadena($B$24,J$17,$D$6,$D$7,$D$8)</f>
        <v>#VALUE!</v>
      </c>
      <c r="K24" s="13" t="e">
        <f>[1]!SaldoContableCuentaCadena($B$24,K$17,$D$6,$D$7,$D$8)</f>
        <v>#VALUE!</v>
      </c>
      <c r="L24" s="13" t="e">
        <f>[1]!SaldoContableCuentaCadena($B$24,L$17,$D$6,$D$7,$D$8)</f>
        <v>#VALUE!</v>
      </c>
      <c r="M24" s="13" t="e">
        <f>[1]!SaldoContableCuentaCadena($B$24,M$17,$D$6,$D$7,$D$8)</f>
        <v>#VALUE!</v>
      </c>
      <c r="N24" s="13" t="e">
        <f>[1]!SaldoContableCuentaCadena($B$24,N$17,$D$6,$D$7,$D$8)</f>
        <v>#VALUE!</v>
      </c>
      <c r="O24" s="13" t="e">
        <f>[1]!SaldoContableCuentaCadena($B$24,O$17,$D$6,$D$7,$D$8)</f>
        <v>#VALUE!</v>
      </c>
      <c r="P24" s="24" t="e">
        <f>SUM(D24:O24)</f>
        <v>#VALUE!</v>
      </c>
    </row>
    <row r="25" spans="2:16" ht="9" customHeight="1" x14ac:dyDescent="0.25">
      <c r="C25" s="2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24"/>
    </row>
    <row r="26" spans="2:16" ht="15" customHeight="1" x14ac:dyDescent="0.25">
      <c r="C26" s="25" t="s">
        <v>38</v>
      </c>
      <c r="D26" s="13" t="e">
        <f>SUM(D21:D25)</f>
        <v>#VALUE!</v>
      </c>
      <c r="E26" s="13" t="e">
        <f t="shared" ref="E26:O26" si="0">SUM(E21:E25)</f>
        <v>#VALUE!</v>
      </c>
      <c r="F26" s="13" t="e">
        <f t="shared" si="0"/>
        <v>#VALUE!</v>
      </c>
      <c r="G26" s="13" t="e">
        <f t="shared" si="0"/>
        <v>#VALUE!</v>
      </c>
      <c r="H26" s="13" t="e">
        <f t="shared" si="0"/>
        <v>#VALUE!</v>
      </c>
      <c r="I26" s="13" t="e">
        <f t="shared" si="0"/>
        <v>#VALUE!</v>
      </c>
      <c r="J26" s="13" t="e">
        <f t="shared" si="0"/>
        <v>#VALUE!</v>
      </c>
      <c r="K26" s="13" t="e">
        <f t="shared" si="0"/>
        <v>#VALUE!</v>
      </c>
      <c r="L26" s="13" t="e">
        <f t="shared" si="0"/>
        <v>#VALUE!</v>
      </c>
      <c r="M26" s="13" t="e">
        <f t="shared" si="0"/>
        <v>#VALUE!</v>
      </c>
      <c r="N26" s="13" t="e">
        <f t="shared" si="0"/>
        <v>#VALUE!</v>
      </c>
      <c r="O26" s="13" t="e">
        <f t="shared" si="0"/>
        <v>#VALUE!</v>
      </c>
      <c r="P26" s="24" t="e">
        <f>SUM(D26:O26)</f>
        <v>#VALUE!</v>
      </c>
    </row>
    <row r="27" spans="2:16" ht="8.25" customHeight="1" x14ac:dyDescent="0.25">
      <c r="C27" s="2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24"/>
    </row>
    <row r="28" spans="2:16" ht="15" customHeight="1" x14ac:dyDescent="0.25">
      <c r="C28" s="26" t="s">
        <v>39</v>
      </c>
      <c r="D28" s="24" t="e">
        <f>D21+D22+D23+D24</f>
        <v>#VALUE!</v>
      </c>
      <c r="E28" s="24" t="e">
        <f>E26+D28</f>
        <v>#VALUE!</v>
      </c>
      <c r="F28" s="24" t="e">
        <f t="shared" ref="F28:O28" si="1">F26+E28</f>
        <v>#VALUE!</v>
      </c>
      <c r="G28" s="24" t="e">
        <f t="shared" si="1"/>
        <v>#VALUE!</v>
      </c>
      <c r="H28" s="24" t="e">
        <f t="shared" si="1"/>
        <v>#VALUE!</v>
      </c>
      <c r="I28" s="24" t="e">
        <f t="shared" si="1"/>
        <v>#VALUE!</v>
      </c>
      <c r="J28" s="24" t="e">
        <f t="shared" si="1"/>
        <v>#VALUE!</v>
      </c>
      <c r="K28" s="24" t="e">
        <f t="shared" si="1"/>
        <v>#VALUE!</v>
      </c>
      <c r="L28" s="24" t="e">
        <f t="shared" si="1"/>
        <v>#VALUE!</v>
      </c>
      <c r="M28" s="24" t="e">
        <f t="shared" si="1"/>
        <v>#VALUE!</v>
      </c>
      <c r="N28" s="24" t="e">
        <f t="shared" si="1"/>
        <v>#VALUE!</v>
      </c>
      <c r="O28" s="24" t="e">
        <f t="shared" si="1"/>
        <v>#VALUE!</v>
      </c>
      <c r="P28" s="24"/>
    </row>
    <row r="29" spans="2:16" ht="15" customHeight="1" x14ac:dyDescent="0.25">
      <c r="C29" s="26"/>
      <c r="D29" s="27"/>
      <c r="E29" s="27"/>
      <c r="F29" s="27"/>
      <c r="G29" s="27"/>
      <c r="H29" s="27"/>
      <c r="I29" s="24"/>
      <c r="J29" s="24"/>
      <c r="K29" s="24"/>
      <c r="L29" s="24"/>
      <c r="M29" s="24"/>
      <c r="N29" s="24"/>
      <c r="O29" s="24"/>
      <c r="P29" s="28">
        <f>5605+12934+26718.59+18219+26887.37</f>
        <v>90363.959999999992</v>
      </c>
    </row>
    <row r="30" spans="2:16" ht="15" customHeight="1" x14ac:dyDescent="0.25">
      <c r="C30" s="26"/>
      <c r="D30" s="29"/>
      <c r="E30" s="29"/>
      <c r="F30" s="29"/>
      <c r="G30" s="29"/>
      <c r="H30" s="29"/>
      <c r="I30" s="24"/>
      <c r="J30" s="24"/>
      <c r="K30" s="24"/>
      <c r="L30" s="24"/>
      <c r="M30" s="24"/>
      <c r="N30" s="24"/>
      <c r="O30" s="24"/>
      <c r="P30" s="30" t="e">
        <f>+P29+P32</f>
        <v>#VALUE!</v>
      </c>
    </row>
    <row r="31" spans="2:16" ht="15" customHeight="1" x14ac:dyDescent="0.25">
      <c r="C31" s="20" t="s">
        <v>40</v>
      </c>
      <c r="D31" s="24" t="e">
        <f t="shared" ref="D31:P31" si="2">SUM(D32:D71)</f>
        <v>#VALUE!</v>
      </c>
      <c r="E31" s="24" t="e">
        <f t="shared" si="2"/>
        <v>#VALUE!</v>
      </c>
      <c r="F31" s="24" t="e">
        <f t="shared" si="2"/>
        <v>#VALUE!</v>
      </c>
      <c r="G31" s="24" t="e">
        <f t="shared" si="2"/>
        <v>#VALUE!</v>
      </c>
      <c r="H31" s="24" t="e">
        <f t="shared" si="2"/>
        <v>#VALUE!</v>
      </c>
      <c r="I31" s="24" t="e">
        <f t="shared" si="2"/>
        <v>#VALUE!</v>
      </c>
      <c r="J31" s="24" t="e">
        <f t="shared" si="2"/>
        <v>#VALUE!</v>
      </c>
      <c r="K31" s="24" t="e">
        <f t="shared" si="2"/>
        <v>#VALUE!</v>
      </c>
      <c r="L31" s="24" t="e">
        <f t="shared" si="2"/>
        <v>#VALUE!</v>
      </c>
      <c r="M31" s="24" t="e">
        <f t="shared" si="2"/>
        <v>#VALUE!</v>
      </c>
      <c r="N31" s="24" t="e">
        <f t="shared" si="2"/>
        <v>#VALUE!</v>
      </c>
      <c r="O31" s="24" t="e">
        <f t="shared" si="2"/>
        <v>#VALUE!</v>
      </c>
      <c r="P31" s="24" t="e">
        <f t="shared" si="2"/>
        <v>#VALUE!</v>
      </c>
    </row>
    <row r="32" spans="2:16" ht="15" customHeight="1" x14ac:dyDescent="0.25">
      <c r="B32" s="22">
        <v>60101</v>
      </c>
      <c r="C32" s="31" t="s">
        <v>41</v>
      </c>
      <c r="D32" s="13" t="e">
        <f>[1]!SaldoContableCuentaCadena($B32,D$17,$D$6,$D$7,$D$8)</f>
        <v>#VALUE!</v>
      </c>
      <c r="E32" s="13" t="e">
        <f>[1]!SaldoContableCuentaCadena($B32,E$17,$D$6,$D$7,$D$8)</f>
        <v>#VALUE!</v>
      </c>
      <c r="F32" s="13" t="e">
        <f>[1]!SaldoContableCuentaCadena($B32,F$17,$D$6,$D$7,$D$8)</f>
        <v>#VALUE!</v>
      </c>
      <c r="G32" s="13" t="e">
        <f>[1]!SaldoContableCuentaCadena($B32,G$17,$D$6,$D$7,$D$8)</f>
        <v>#VALUE!</v>
      </c>
      <c r="H32" s="13" t="e">
        <f>[1]!SaldoContableCuentaCadena($B32,H$17,$D$6,$D$7,$D$8)</f>
        <v>#VALUE!</v>
      </c>
      <c r="I32" s="13" t="e">
        <f>[1]!SaldoContableCuentaCadena($B32,I$17,$D$6,$D$7,$D$8)</f>
        <v>#VALUE!</v>
      </c>
      <c r="J32" s="13" t="e">
        <f>[1]!SaldoContableCuentaCadena($B32,J$17,$D$6,$D$7,$D$8)</f>
        <v>#VALUE!</v>
      </c>
      <c r="K32" s="13" t="e">
        <f>[1]!SaldoContableCuentaCadena($B32,K$17,$D$6,$D$7,$D$8)</f>
        <v>#VALUE!</v>
      </c>
      <c r="L32" s="13" t="e">
        <f>[1]!SaldoContableCuentaCadena($B32,L$17,$D$6,$D$7,$D$8)</f>
        <v>#VALUE!</v>
      </c>
      <c r="M32" s="13" t="e">
        <f>[1]!SaldoContableCuentaCadena($B32,M$17,$D$6,$D$7,$D$8)</f>
        <v>#VALUE!</v>
      </c>
      <c r="N32" s="13" t="e">
        <f>[1]!SaldoContableCuentaCadena($B32,N$17,$D$6,$D$7,$D$8)</f>
        <v>#VALUE!</v>
      </c>
      <c r="O32" s="13" t="e">
        <f>[1]!SaldoContableCuentaCadena($B32,O$17,$D$6,$D$7,$D$8)</f>
        <v>#VALUE!</v>
      </c>
      <c r="P32" s="24" t="e">
        <f>SUM(D32:O32)</f>
        <v>#VALUE!</v>
      </c>
    </row>
    <row r="33" spans="2:16" ht="15" customHeight="1" x14ac:dyDescent="0.25">
      <c r="B33" s="22">
        <v>60126</v>
      </c>
      <c r="C33" s="31" t="s">
        <v>42</v>
      </c>
      <c r="D33" s="13" t="e">
        <f>[1]!SaldoContableCuentaCadena($B33,D$17,$D$6,$D$7,$D$8)</f>
        <v>#VALUE!</v>
      </c>
      <c r="E33" s="13" t="e">
        <f>[1]!SaldoContableCuentaCadena($B33,E$17,$D$6,$D$7,$D$8)</f>
        <v>#VALUE!</v>
      </c>
      <c r="F33" s="13" t="e">
        <f>[1]!SaldoContableCuentaCadena($B33,F$17,$D$6,$D$7,$D$8)</f>
        <v>#VALUE!</v>
      </c>
      <c r="G33" s="13" t="e">
        <f>[1]!SaldoContableCuentaCadena($B33,G$17,$D$6,$D$7,$D$8)</f>
        <v>#VALUE!</v>
      </c>
      <c r="H33" s="13" t="e">
        <f>[1]!SaldoContableCuentaCadena($B33,H$17,$D$6,$D$7,$D$8)</f>
        <v>#VALUE!</v>
      </c>
      <c r="I33" s="13" t="e">
        <f>[1]!SaldoContableCuentaCadena($B33,I$17,$D$6,$D$7,$D$8)</f>
        <v>#VALUE!</v>
      </c>
      <c r="J33" s="13" t="e">
        <f>[1]!SaldoContableCuentaCadena($B33,J$17,$D$6,$D$7,$D$8)</f>
        <v>#VALUE!</v>
      </c>
      <c r="K33" s="13" t="e">
        <f>[1]!SaldoContableCuentaCadena($B33,K$17,$D$6,$D$7,$D$8)</f>
        <v>#VALUE!</v>
      </c>
      <c r="L33" s="13" t="e">
        <f>[1]!SaldoContableCuentaCadena($B33,L$17,$D$6,$D$7,$D$8)</f>
        <v>#VALUE!</v>
      </c>
      <c r="M33" s="13" t="e">
        <f>[1]!SaldoContableCuentaCadena($B33,M$17,$D$6,$D$7,$D$8)</f>
        <v>#VALUE!</v>
      </c>
      <c r="N33" s="13" t="e">
        <f>[1]!SaldoContableCuentaCadena($B33,N$17,$D$6,$D$7,$D$8)</f>
        <v>#VALUE!</v>
      </c>
      <c r="O33" s="13" t="e">
        <f>[1]!SaldoContableCuentaCadena($B33,O$17,$D$6,$D$7,$D$8)</f>
        <v>#VALUE!</v>
      </c>
      <c r="P33" s="24" t="e">
        <f t="shared" ref="P33:P70" si="3">SUM(D33:O33)</f>
        <v>#VALUE!</v>
      </c>
    </row>
    <row r="34" spans="2:16" ht="15" customHeight="1" x14ac:dyDescent="0.25">
      <c r="B34" s="22">
        <v>60127</v>
      </c>
      <c r="C34" s="31" t="s">
        <v>43</v>
      </c>
      <c r="D34" s="13" t="e">
        <f>[1]!SaldoContableCuentaCadena($B34,D$17,$D$6,$D$7,$D$8)</f>
        <v>#VALUE!</v>
      </c>
      <c r="E34" s="13" t="e">
        <f>[1]!SaldoContableCuentaCadena($B34,E$17,$D$6,$D$7,$D$8)</f>
        <v>#VALUE!</v>
      </c>
      <c r="F34" s="13" t="e">
        <f>[1]!SaldoContableCuentaCadena($B34,F$17,$D$6,$D$7,$D$8)</f>
        <v>#VALUE!</v>
      </c>
      <c r="G34" s="13" t="e">
        <f>[1]!SaldoContableCuentaCadena($B34,G$17,$D$6,$D$7,$D$8)</f>
        <v>#VALUE!</v>
      </c>
      <c r="H34" s="13" t="e">
        <f>[1]!SaldoContableCuentaCadena($B34,H$17,$D$6,$D$7,$D$8)</f>
        <v>#VALUE!</v>
      </c>
      <c r="I34" s="13" t="e">
        <f>[1]!SaldoContableCuentaCadena($B34,I$17,$D$6,$D$7,$D$8)</f>
        <v>#VALUE!</v>
      </c>
      <c r="J34" s="13" t="e">
        <f>[1]!SaldoContableCuentaCadena($B34,J$17,$D$6,$D$7,$D$8)</f>
        <v>#VALUE!</v>
      </c>
      <c r="K34" s="13" t="e">
        <f>[1]!SaldoContableCuentaCadena($B34,K$17,$D$6,$D$7,$D$8)</f>
        <v>#VALUE!</v>
      </c>
      <c r="L34" s="13" t="e">
        <f>[1]!SaldoContableCuentaCadena($B34,L$17,$D$6,$D$7,$D$8)</f>
        <v>#VALUE!</v>
      </c>
      <c r="M34" s="13" t="e">
        <f>[1]!SaldoContableCuentaCadena($B34,M$17,$D$6,$D$7,$D$8)</f>
        <v>#VALUE!</v>
      </c>
      <c r="N34" s="13" t="e">
        <f>[1]!SaldoContableCuentaCadena($B34,N$17,$D$6,$D$7,$D$8)</f>
        <v>#VALUE!</v>
      </c>
      <c r="O34" s="13" t="e">
        <f>[1]!SaldoContableCuentaCadena($B34,O$17,$D$6,$D$7,$D$8)</f>
        <v>#VALUE!</v>
      </c>
      <c r="P34" s="24" t="e">
        <f t="shared" si="3"/>
        <v>#VALUE!</v>
      </c>
    </row>
    <row r="35" spans="2:16" ht="15" customHeight="1" x14ac:dyDescent="0.25">
      <c r="B35" s="22">
        <v>60128</v>
      </c>
      <c r="C35" s="31" t="s">
        <v>44</v>
      </c>
      <c r="D35" s="13" t="e">
        <f>[1]!SaldoContableCuentaCadena($B35,D$17,$D$6,$D$7,$D$8)</f>
        <v>#VALUE!</v>
      </c>
      <c r="E35" s="13" t="e">
        <f>[1]!SaldoContableCuentaCadena($B35,E$17,$D$6,$D$7,$D$8)</f>
        <v>#VALUE!</v>
      </c>
      <c r="F35" s="13" t="e">
        <f>[1]!SaldoContableCuentaCadena($B35,F$17,$D$6,$D$7,$D$8)</f>
        <v>#VALUE!</v>
      </c>
      <c r="G35" s="13" t="e">
        <f>[1]!SaldoContableCuentaCadena($B35,G$17,$D$6,$D$7,$D$8)</f>
        <v>#VALUE!</v>
      </c>
      <c r="H35" s="13" t="e">
        <f>[1]!SaldoContableCuentaCadena($B35,H$17,$D$6,$D$7,$D$8)</f>
        <v>#VALUE!</v>
      </c>
      <c r="I35" s="13" t="e">
        <f>[1]!SaldoContableCuentaCadena($B35,I$17,$D$6,$D$7,$D$8)</f>
        <v>#VALUE!</v>
      </c>
      <c r="J35" s="13" t="e">
        <f>[1]!SaldoContableCuentaCadena($B35,J$17,$D$6,$D$7,$D$8)</f>
        <v>#VALUE!</v>
      </c>
      <c r="K35" s="13" t="e">
        <f>[1]!SaldoContableCuentaCadena($B35,K$17,$D$6,$D$7,$D$8)</f>
        <v>#VALUE!</v>
      </c>
      <c r="L35" s="13" t="e">
        <f>[1]!SaldoContableCuentaCadena($B35,L$17,$D$6,$D$7,$D$8)</f>
        <v>#VALUE!</v>
      </c>
      <c r="M35" s="13" t="e">
        <f>[1]!SaldoContableCuentaCadena($B35,M$17,$D$6,$D$7,$D$8)</f>
        <v>#VALUE!</v>
      </c>
      <c r="N35" s="13" t="e">
        <f>[1]!SaldoContableCuentaCadena($B35,N$17,$D$6,$D$7,$D$8)</f>
        <v>#VALUE!</v>
      </c>
      <c r="O35" s="13" t="e">
        <f>[1]!SaldoContableCuentaCadena($B35,O$17,$D$6,$D$7,$D$8)</f>
        <v>#VALUE!</v>
      </c>
      <c r="P35" s="24" t="e">
        <f t="shared" si="3"/>
        <v>#VALUE!</v>
      </c>
    </row>
    <row r="36" spans="2:16" ht="15" customHeight="1" x14ac:dyDescent="0.25">
      <c r="B36" s="22">
        <v>60129</v>
      </c>
      <c r="C36" s="31" t="s">
        <v>45</v>
      </c>
      <c r="D36" s="13" t="e">
        <f>[1]!SaldoContableCuentaCadena($B36,D$17,$D$6,$D$7,$D$8)</f>
        <v>#VALUE!</v>
      </c>
      <c r="E36" s="13" t="e">
        <f>[1]!SaldoContableCuentaCadena($B36,E$17,$D$6,$D$7,$D$8)</f>
        <v>#VALUE!</v>
      </c>
      <c r="F36" s="13" t="e">
        <f>[1]!SaldoContableCuentaCadena($B36,F$17,$D$6,$D$7,$D$8)</f>
        <v>#VALUE!</v>
      </c>
      <c r="G36" s="13" t="e">
        <f>[1]!SaldoContableCuentaCadena($B36,G$17,$D$6,$D$7,$D$8)</f>
        <v>#VALUE!</v>
      </c>
      <c r="H36" s="13" t="e">
        <f>[1]!SaldoContableCuentaCadena($B36,H$17,$D$6,$D$7,$D$8)</f>
        <v>#VALUE!</v>
      </c>
      <c r="I36" s="13" t="e">
        <f>[1]!SaldoContableCuentaCadena($B36,I$17,$D$6,$D$7,$D$8)</f>
        <v>#VALUE!</v>
      </c>
      <c r="J36" s="13" t="e">
        <f>[1]!SaldoContableCuentaCadena($B36,J$17,$D$6,$D$7,$D$8)</f>
        <v>#VALUE!</v>
      </c>
      <c r="K36" s="13" t="e">
        <f>[1]!SaldoContableCuentaCadena($B36,K$17,$D$6,$D$7,$D$8)</f>
        <v>#VALUE!</v>
      </c>
      <c r="L36" s="13" t="e">
        <f>[1]!SaldoContableCuentaCadena($B36,L$17,$D$6,$D$7,$D$8)</f>
        <v>#VALUE!</v>
      </c>
      <c r="M36" s="13" t="e">
        <f>[1]!SaldoContableCuentaCadena($B36,M$17,$D$6,$D$7,$D$8)</f>
        <v>#VALUE!</v>
      </c>
      <c r="N36" s="13" t="e">
        <f>[1]!SaldoContableCuentaCadena($B36,N$17,$D$6,$D$7,$D$8)</f>
        <v>#VALUE!</v>
      </c>
      <c r="O36" s="13" t="e">
        <f>[1]!SaldoContableCuentaCadena($B36,O$17,$D$6,$D$7,$D$8)</f>
        <v>#VALUE!</v>
      </c>
      <c r="P36" s="24" t="e">
        <f t="shared" si="3"/>
        <v>#VALUE!</v>
      </c>
    </row>
    <row r="37" spans="2:16" ht="15" customHeight="1" x14ac:dyDescent="0.25">
      <c r="B37" s="22">
        <v>60130</v>
      </c>
      <c r="C37" s="31" t="s">
        <v>46</v>
      </c>
      <c r="D37" s="13" t="e">
        <f>[1]!SaldoContableCuentaCadena($B37,D$17,$D$6,$D$7,$D$8)</f>
        <v>#VALUE!</v>
      </c>
      <c r="E37" s="13" t="e">
        <f>[1]!SaldoContableCuentaCadena($B37,E$17,$D$6,$D$7,$D$8)</f>
        <v>#VALUE!</v>
      </c>
      <c r="F37" s="13" t="e">
        <f>[1]!SaldoContableCuentaCadena($B37,F$17,$D$6,$D$7,$D$8)</f>
        <v>#VALUE!</v>
      </c>
      <c r="G37" s="13" t="e">
        <f>[1]!SaldoContableCuentaCadena($B37,G$17,$D$6,$D$7,$D$8)</f>
        <v>#VALUE!</v>
      </c>
      <c r="H37" s="13" t="e">
        <f>[1]!SaldoContableCuentaCadena($B37,H$17,$D$6,$D$7,$D$8)</f>
        <v>#VALUE!</v>
      </c>
      <c r="I37" s="13" t="e">
        <f>[1]!SaldoContableCuentaCadena($B37,I$17,$D$6,$D$7,$D$8)</f>
        <v>#VALUE!</v>
      </c>
      <c r="J37" s="13" t="e">
        <f>[1]!SaldoContableCuentaCadena($B37,J$17,$D$6,$D$7,$D$8)</f>
        <v>#VALUE!</v>
      </c>
      <c r="K37" s="13" t="e">
        <f>[1]!SaldoContableCuentaCadena($B37,K$17,$D$6,$D$7,$D$8)</f>
        <v>#VALUE!</v>
      </c>
      <c r="L37" s="13" t="e">
        <f>[1]!SaldoContableCuentaCadena($B37,L$17,$D$6,$D$7,$D$8)</f>
        <v>#VALUE!</v>
      </c>
      <c r="M37" s="13" t="e">
        <f>[1]!SaldoContableCuentaCadena($B37,M$17,$D$6,$D$7,$D$8)</f>
        <v>#VALUE!</v>
      </c>
      <c r="N37" s="13" t="e">
        <f>[1]!SaldoContableCuentaCadena($B37,N$17,$D$6,$D$7,$D$8)</f>
        <v>#VALUE!</v>
      </c>
      <c r="O37" s="13" t="e">
        <f>[1]!SaldoContableCuentaCadena($B37,O$17,$D$6,$D$7,$D$8)</f>
        <v>#VALUE!</v>
      </c>
      <c r="P37" s="24" t="e">
        <f t="shared" si="3"/>
        <v>#VALUE!</v>
      </c>
    </row>
    <row r="38" spans="2:16" ht="15" customHeight="1" x14ac:dyDescent="0.25">
      <c r="B38" s="22">
        <v>60131</v>
      </c>
      <c r="C38" s="31" t="s">
        <v>47</v>
      </c>
      <c r="D38" s="13" t="e">
        <f>[1]!SaldoContableCuentaCadena($B38,D$17,$D$6,$D$7,$D$8)</f>
        <v>#VALUE!</v>
      </c>
      <c r="E38" s="13" t="e">
        <f>[1]!SaldoContableCuentaCadena($B38,E$17,$D$6,$D$7,$D$8)</f>
        <v>#VALUE!</v>
      </c>
      <c r="F38" s="13" t="e">
        <f>[1]!SaldoContableCuentaCadena($B38,F$17,$D$6,$D$7,$D$8)</f>
        <v>#VALUE!</v>
      </c>
      <c r="G38" s="13" t="e">
        <f>[1]!SaldoContableCuentaCadena($B38,G$17,$D$6,$D$7,$D$8)</f>
        <v>#VALUE!</v>
      </c>
      <c r="H38" s="13" t="e">
        <f>[1]!SaldoContableCuentaCadena($B38,H$17,$D$6,$D$7,$D$8)</f>
        <v>#VALUE!</v>
      </c>
      <c r="I38" s="13" t="e">
        <f>[1]!SaldoContableCuentaCadena($B38,I$17,$D$6,$D$7,$D$8)</f>
        <v>#VALUE!</v>
      </c>
      <c r="J38" s="13" t="e">
        <f>[1]!SaldoContableCuentaCadena($B38,J$17,$D$6,$D$7,$D$8)</f>
        <v>#VALUE!</v>
      </c>
      <c r="K38" s="13" t="e">
        <f>[1]!SaldoContableCuentaCadena($B38,K$17,$D$6,$D$7,$D$8)</f>
        <v>#VALUE!</v>
      </c>
      <c r="L38" s="13" t="e">
        <f>[1]!SaldoContableCuentaCadena($B38,L$17,$D$6,$D$7,$D$8)</f>
        <v>#VALUE!</v>
      </c>
      <c r="M38" s="13" t="e">
        <f>[1]!SaldoContableCuentaCadena($B38,M$17,$D$6,$D$7,$D$8)</f>
        <v>#VALUE!</v>
      </c>
      <c r="N38" s="13" t="e">
        <f>[1]!SaldoContableCuentaCadena($B38,N$17,$D$6,$D$7,$D$8)</f>
        <v>#VALUE!</v>
      </c>
      <c r="O38" s="13" t="e">
        <f>[1]!SaldoContableCuentaCadena($B38,O$17,$D$6,$D$7,$D$8)</f>
        <v>#VALUE!</v>
      </c>
      <c r="P38" s="24" t="e">
        <f t="shared" si="3"/>
        <v>#VALUE!</v>
      </c>
    </row>
    <row r="39" spans="2:16" ht="15" customHeight="1" x14ac:dyDescent="0.25">
      <c r="B39" s="32" t="s">
        <v>48</v>
      </c>
      <c r="C39" s="31" t="s">
        <v>49</v>
      </c>
      <c r="D39" s="13" t="e">
        <f>[1]!SaldoContableCuentaCadena($B39,D$17,$D$6,$D$7,$D$8)</f>
        <v>#VALUE!</v>
      </c>
      <c r="E39" s="13" t="e">
        <f>[1]!SaldoContableCuentaCadena($B39,E$17,$D$6,$D$7,$D$8)</f>
        <v>#VALUE!</v>
      </c>
      <c r="F39" s="13" t="e">
        <f>[1]!SaldoContableCuentaCadena($B39,F$17,$D$6,$D$7,$D$8)</f>
        <v>#VALUE!</v>
      </c>
      <c r="G39" s="13" t="e">
        <f>[1]!SaldoContableCuentaCadena($B39,G$17,$D$6,$D$7,$D$8)</f>
        <v>#VALUE!</v>
      </c>
      <c r="H39" s="13" t="e">
        <f>[1]!SaldoContableCuentaCadena($B39,H$17,$D$6,$D$7,$D$8)</f>
        <v>#VALUE!</v>
      </c>
      <c r="I39" s="13" t="e">
        <f>[1]!SaldoContableCuentaCadena($B39,I$17,$D$6,$D$7,$D$8)</f>
        <v>#VALUE!</v>
      </c>
      <c r="J39" s="13" t="e">
        <f>[1]!SaldoContableCuentaCadena($B39,J$17,$D$6,$D$7,$D$8)</f>
        <v>#VALUE!</v>
      </c>
      <c r="K39" s="13" t="e">
        <f>[1]!SaldoContableCuentaCadena($B39,K$17,$D$6,$D$7,$D$8)</f>
        <v>#VALUE!</v>
      </c>
      <c r="L39" s="13" t="e">
        <f>[1]!SaldoContableCuentaCadena($B39,L$17,$D$6,$D$7,$D$8)</f>
        <v>#VALUE!</v>
      </c>
      <c r="M39" s="13" t="e">
        <f>[1]!SaldoContableCuentaCadena($B39,M$17,$D$6,$D$7,$D$8)</f>
        <v>#VALUE!</v>
      </c>
      <c r="N39" s="13" t="e">
        <f>[1]!SaldoContableCuentaCadena($B39,N$17,$D$6,$D$7,$D$8)</f>
        <v>#VALUE!</v>
      </c>
      <c r="O39" s="13" t="e">
        <f>[1]!SaldoContableCuentaCadena($B39,O$17,$D$6,$D$7,$D$8)</f>
        <v>#VALUE!</v>
      </c>
      <c r="P39" s="24" t="e">
        <f t="shared" si="3"/>
        <v>#VALUE!</v>
      </c>
    </row>
    <row r="40" spans="2:16" ht="15" customHeight="1" x14ac:dyDescent="0.25">
      <c r="B40" s="22" t="s">
        <v>50</v>
      </c>
      <c r="C40" s="31" t="s">
        <v>51</v>
      </c>
      <c r="D40" s="13" t="e">
        <f>[1]!SaldoContableCuentaCadena($B40,D$17,$D$6,$D$7,$D$8)</f>
        <v>#VALUE!</v>
      </c>
      <c r="E40" s="13" t="e">
        <f>[1]!SaldoContableCuentaCadena($B40,E$17,$D$6,$D$7,$D$8)</f>
        <v>#VALUE!</v>
      </c>
      <c r="F40" s="13" t="e">
        <f>[1]!SaldoContableCuentaCadena($B40,F$17,$D$6,$D$7,$D$8)</f>
        <v>#VALUE!</v>
      </c>
      <c r="G40" s="13" t="e">
        <f>[1]!SaldoContableCuentaCadena($B40,G$17,$D$6,$D$7,$D$8)</f>
        <v>#VALUE!</v>
      </c>
      <c r="H40" s="13" t="e">
        <f>[1]!SaldoContableCuentaCadena($B40,H$17,$D$6,$D$7,$D$8)</f>
        <v>#VALUE!</v>
      </c>
      <c r="I40" s="13" t="e">
        <f>[1]!SaldoContableCuentaCadena($B40,I$17,$D$6,$D$7,$D$8)</f>
        <v>#VALUE!</v>
      </c>
      <c r="J40" s="13" t="e">
        <f>[1]!SaldoContableCuentaCadena($B40,J$17,$D$6,$D$7,$D$8)</f>
        <v>#VALUE!</v>
      </c>
      <c r="K40" s="13" t="e">
        <f>[1]!SaldoContableCuentaCadena($B40,K$17,$D$6,$D$7,$D$8)</f>
        <v>#VALUE!</v>
      </c>
      <c r="L40" s="13" t="e">
        <f>[1]!SaldoContableCuentaCadena($B40,L$17,$D$6,$D$7,$D$8)</f>
        <v>#VALUE!</v>
      </c>
      <c r="M40" s="13" t="e">
        <f>[1]!SaldoContableCuentaCadena($B40,M$17,$D$6,$D$7,$D$8)</f>
        <v>#VALUE!</v>
      </c>
      <c r="N40" s="13" t="e">
        <f>[1]!SaldoContableCuentaCadena($B40,N$17,$D$6,$D$7,$D$8)</f>
        <v>#VALUE!</v>
      </c>
      <c r="O40" s="13" t="e">
        <f>[1]!SaldoContableCuentaCadena($B40,O$17,$D$6,$D$7,$D$8)</f>
        <v>#VALUE!</v>
      </c>
      <c r="P40" s="24" t="e">
        <f t="shared" si="3"/>
        <v>#VALUE!</v>
      </c>
    </row>
    <row r="41" spans="2:16" ht="15" customHeight="1" x14ac:dyDescent="0.25">
      <c r="B41" s="32" t="s">
        <v>52</v>
      </c>
      <c r="C41" s="31" t="s">
        <v>53</v>
      </c>
      <c r="D41" s="13" t="e">
        <f>[1]!SaldoContableCuentaCadena($B41,D$17,$D$6,$D$7,$D$8)</f>
        <v>#VALUE!</v>
      </c>
      <c r="E41" s="13" t="e">
        <f>[1]!SaldoContableCuentaCadena($B41,E$17,$D$6,$D$7,$D$8)</f>
        <v>#VALUE!</v>
      </c>
      <c r="F41" s="13" t="e">
        <f>[1]!SaldoContableCuentaCadena($B41,F$17,$D$6,$D$7,$D$8)</f>
        <v>#VALUE!</v>
      </c>
      <c r="G41" s="13" t="e">
        <f>[1]!SaldoContableCuentaCadena($B41,G$17,$D$6,$D$7,$D$8)</f>
        <v>#VALUE!</v>
      </c>
      <c r="H41" s="13" t="e">
        <f>[1]!SaldoContableCuentaCadena($B41,H$17,$D$6,$D$7,$D$8)</f>
        <v>#VALUE!</v>
      </c>
      <c r="I41" s="13" t="e">
        <f>[1]!SaldoContableCuentaCadena($B41,I$17,$D$6,$D$7,$D$8)</f>
        <v>#VALUE!</v>
      </c>
      <c r="J41" s="13" t="e">
        <f>[1]!SaldoContableCuentaCadena($B41,J$17,$D$6,$D$7,$D$8)</f>
        <v>#VALUE!</v>
      </c>
      <c r="K41" s="13" t="e">
        <f>[1]!SaldoContableCuentaCadena($B41,K$17,$D$6,$D$7,$D$8)</f>
        <v>#VALUE!</v>
      </c>
      <c r="L41" s="13" t="e">
        <f>[1]!SaldoContableCuentaCadena($B41,L$17,$D$6,$D$7,$D$8)</f>
        <v>#VALUE!</v>
      </c>
      <c r="M41" s="13" t="e">
        <f>[1]!SaldoContableCuentaCadena($B41,M$17,$D$6,$D$7,$D$8)</f>
        <v>#VALUE!</v>
      </c>
      <c r="N41" s="13" t="e">
        <f>[1]!SaldoContableCuentaCadena($B41,N$17,$D$6,$D$7,$D$8)</f>
        <v>#VALUE!</v>
      </c>
      <c r="O41" s="13" t="e">
        <f>[1]!SaldoContableCuentaCadena($B41,O$17,$D$6,$D$7,$D$8)</f>
        <v>#VALUE!</v>
      </c>
      <c r="P41" s="24" t="e">
        <f t="shared" si="3"/>
        <v>#VALUE!</v>
      </c>
    </row>
    <row r="42" spans="2:16" ht="15" customHeight="1" x14ac:dyDescent="0.25">
      <c r="B42" s="22">
        <v>60148</v>
      </c>
      <c r="C42" s="31" t="s">
        <v>54</v>
      </c>
      <c r="D42" s="13" t="e">
        <f>[1]!SaldoContableCuentaCadena($B42,D$17,$D$6,$D$7,$D$8)</f>
        <v>#VALUE!</v>
      </c>
      <c r="E42" s="13" t="e">
        <f>[1]!SaldoContableCuentaCadena($B42,E$17,$D$6,$D$7,$D$8)</f>
        <v>#VALUE!</v>
      </c>
      <c r="F42" s="13" t="e">
        <f>[1]!SaldoContableCuentaCadena($B42,F$17,$D$6,$D$7,$D$8)</f>
        <v>#VALUE!</v>
      </c>
      <c r="G42" s="13" t="e">
        <f>[1]!SaldoContableCuentaCadena($B42,G$17,$D$6,$D$7,$D$8)</f>
        <v>#VALUE!</v>
      </c>
      <c r="H42" s="13" t="e">
        <f>[1]!SaldoContableCuentaCadena($B42,H$17,$D$6,$D$7,$D$8)</f>
        <v>#VALUE!</v>
      </c>
      <c r="I42" s="13" t="e">
        <f>[1]!SaldoContableCuentaCadena($B42,I$17,$D$6,$D$7,$D$8)</f>
        <v>#VALUE!</v>
      </c>
      <c r="J42" s="13" t="e">
        <f>[1]!SaldoContableCuentaCadena($B42,J$17,$D$6,$D$7,$D$8)</f>
        <v>#VALUE!</v>
      </c>
      <c r="K42" s="13" t="e">
        <f>[1]!SaldoContableCuentaCadena($B42,K$17,$D$6,$D$7,$D$8)</f>
        <v>#VALUE!</v>
      </c>
      <c r="L42" s="13" t="e">
        <f>[1]!SaldoContableCuentaCadena($B42,L$17,$D$6,$D$7,$D$8)</f>
        <v>#VALUE!</v>
      </c>
      <c r="M42" s="13" t="e">
        <f>[1]!SaldoContableCuentaCadena($B42,M$17,$D$6,$D$7,$D$8)</f>
        <v>#VALUE!</v>
      </c>
      <c r="N42" s="13" t="e">
        <f>[1]!SaldoContableCuentaCadena($B42,N$17,$D$6,$D$7,$D$8)</f>
        <v>#VALUE!</v>
      </c>
      <c r="O42" s="13" t="e">
        <f>[1]!SaldoContableCuentaCadena($B42,O$17,$D$6,$D$7,$D$8)</f>
        <v>#VALUE!</v>
      </c>
      <c r="P42" s="24" t="e">
        <f t="shared" si="3"/>
        <v>#VALUE!</v>
      </c>
    </row>
    <row r="43" spans="2:16" ht="15" customHeight="1" x14ac:dyDescent="0.25">
      <c r="B43" s="22">
        <v>60149</v>
      </c>
      <c r="C43" s="31" t="s">
        <v>55</v>
      </c>
      <c r="D43" s="13" t="e">
        <f>[1]!SaldoContableCuentaCadena($B43,D$17,$D$6,$D$7,$D$8)</f>
        <v>#VALUE!</v>
      </c>
      <c r="E43" s="13" t="e">
        <f>[1]!SaldoContableCuentaCadena($B43,E$17,$D$6,$D$7,$D$8)</f>
        <v>#VALUE!</v>
      </c>
      <c r="F43" s="13" t="e">
        <f>[1]!SaldoContableCuentaCadena($B43,F$17,$D$6,$D$7,$D$8)</f>
        <v>#VALUE!</v>
      </c>
      <c r="G43" s="13" t="e">
        <f>[1]!SaldoContableCuentaCadena($B43,G$17,$D$6,$D$7,$D$8)</f>
        <v>#VALUE!</v>
      </c>
      <c r="H43" s="13" t="e">
        <f>[1]!SaldoContableCuentaCadena($B43,H$17,$D$6,$D$7,$D$8)</f>
        <v>#VALUE!</v>
      </c>
      <c r="I43" s="13" t="e">
        <f>[1]!SaldoContableCuentaCadena($B43,I$17,$D$6,$D$7,$D$8)</f>
        <v>#VALUE!</v>
      </c>
      <c r="J43" s="13" t="e">
        <f>[1]!SaldoContableCuentaCadena($B43,J$17,$D$6,$D$7,$D$8)</f>
        <v>#VALUE!</v>
      </c>
      <c r="K43" s="13" t="e">
        <f>[1]!SaldoContableCuentaCadena($B43,K$17,$D$6,$D$7,$D$8)</f>
        <v>#VALUE!</v>
      </c>
      <c r="L43" s="13" t="e">
        <f>[1]!SaldoContableCuentaCadena($B43,L$17,$D$6,$D$7,$D$8)</f>
        <v>#VALUE!</v>
      </c>
      <c r="M43" s="13" t="e">
        <f>[1]!SaldoContableCuentaCadena($B43,M$17,$D$6,$D$7,$D$8)</f>
        <v>#VALUE!</v>
      </c>
      <c r="N43" s="13" t="e">
        <f>[1]!SaldoContableCuentaCadena($B43,N$17,$D$6,$D$7,$D$8)</f>
        <v>#VALUE!</v>
      </c>
      <c r="O43" s="13" t="e">
        <f>[1]!SaldoContableCuentaCadena($B43,O$17,$D$6,$D$7,$D$8)</f>
        <v>#VALUE!</v>
      </c>
      <c r="P43" s="24" t="e">
        <f t="shared" si="3"/>
        <v>#VALUE!</v>
      </c>
    </row>
    <row r="44" spans="2:16" ht="15" customHeight="1" x14ac:dyDescent="0.25">
      <c r="B44" s="22">
        <v>60150</v>
      </c>
      <c r="C44" s="31" t="s">
        <v>56</v>
      </c>
      <c r="D44" s="13" t="e">
        <f>[1]!SaldoContableCuentaCadena($B44,D$17,$D$6,$D$7,$D$8)</f>
        <v>#VALUE!</v>
      </c>
      <c r="E44" s="13" t="e">
        <f>[1]!SaldoContableCuentaCadena($B44,E$17,$D$6,$D$7,$D$8)</f>
        <v>#VALUE!</v>
      </c>
      <c r="F44" s="13" t="e">
        <f>[1]!SaldoContableCuentaCadena($B44,F$17,$D$6,$D$7,$D$8)</f>
        <v>#VALUE!</v>
      </c>
      <c r="G44" s="13" t="e">
        <f>[1]!SaldoContableCuentaCadena($B44,G$17,$D$6,$D$7,$D$8)</f>
        <v>#VALUE!</v>
      </c>
      <c r="H44" s="13" t="e">
        <f>[1]!SaldoContableCuentaCadena($B44,H$17,$D$6,$D$7,$D$8)</f>
        <v>#VALUE!</v>
      </c>
      <c r="I44" s="13" t="e">
        <f>[1]!SaldoContableCuentaCadena($B44,I$17,$D$6,$D$7,$D$8)</f>
        <v>#VALUE!</v>
      </c>
      <c r="J44" s="13" t="e">
        <f>[1]!SaldoContableCuentaCadena($B44,J$17,$D$6,$D$7,$D$8)</f>
        <v>#VALUE!</v>
      </c>
      <c r="K44" s="13" t="e">
        <f>[1]!SaldoContableCuentaCadena($B44,K$17,$D$6,$D$7,$D$8)</f>
        <v>#VALUE!</v>
      </c>
      <c r="L44" s="13" t="e">
        <f>[1]!SaldoContableCuentaCadena($B44,L$17,$D$6,$D$7,$D$8)</f>
        <v>#VALUE!</v>
      </c>
      <c r="M44" s="13" t="e">
        <f>[1]!SaldoContableCuentaCadena($B44,M$17,$D$6,$D$7,$D$8)</f>
        <v>#VALUE!</v>
      </c>
      <c r="N44" s="13" t="e">
        <f>[1]!SaldoContableCuentaCadena($B44,N$17,$D$6,$D$7,$D$8)</f>
        <v>#VALUE!</v>
      </c>
      <c r="O44" s="13" t="e">
        <f>[1]!SaldoContableCuentaCadena($B44,O$17,$D$6,$D$7,$D$8)</f>
        <v>#VALUE!</v>
      </c>
      <c r="P44" s="24" t="e">
        <f t="shared" si="3"/>
        <v>#VALUE!</v>
      </c>
    </row>
    <row r="45" spans="2:16" ht="15" customHeight="1" x14ac:dyDescent="0.25">
      <c r="B45" s="22">
        <v>60151</v>
      </c>
      <c r="C45" s="31" t="s">
        <v>57</v>
      </c>
      <c r="D45" s="13" t="e">
        <f>[1]!SaldoContableCuentaCadena($B45,D$17,$D$6,$D$7,$D$8)</f>
        <v>#VALUE!</v>
      </c>
      <c r="E45" s="13" t="e">
        <f>[1]!SaldoContableCuentaCadena($B45,E$17,$D$6,$D$7,$D$8)</f>
        <v>#VALUE!</v>
      </c>
      <c r="F45" s="13" t="e">
        <f>[1]!SaldoContableCuentaCadena($B45,F$17,$D$6,$D$7,$D$8)</f>
        <v>#VALUE!</v>
      </c>
      <c r="G45" s="13" t="e">
        <f>[1]!SaldoContableCuentaCadena($B45,G$17,$D$6,$D$7,$D$8)</f>
        <v>#VALUE!</v>
      </c>
      <c r="H45" s="13" t="e">
        <f>[1]!SaldoContableCuentaCadena($B45,H$17,$D$6,$D$7,$D$8)</f>
        <v>#VALUE!</v>
      </c>
      <c r="I45" s="13" t="e">
        <f>[1]!SaldoContableCuentaCadena($B45,I$17,$D$6,$D$7,$D$8)</f>
        <v>#VALUE!</v>
      </c>
      <c r="J45" s="13" t="e">
        <f>[1]!SaldoContableCuentaCadena($B45,J$17,$D$6,$D$7,$D$8)</f>
        <v>#VALUE!</v>
      </c>
      <c r="K45" s="13" t="e">
        <f>[1]!SaldoContableCuentaCadena($B45,K$17,$D$6,$D$7,$D$8)</f>
        <v>#VALUE!</v>
      </c>
      <c r="L45" s="13" t="e">
        <f>[1]!SaldoContableCuentaCadena($B45,L$17,$D$6,$D$7,$D$8)</f>
        <v>#VALUE!</v>
      </c>
      <c r="M45" s="13" t="e">
        <f>[1]!SaldoContableCuentaCadena($B45,M$17,$D$6,$D$7,$D$8)</f>
        <v>#VALUE!</v>
      </c>
      <c r="N45" s="13" t="e">
        <f>[1]!SaldoContableCuentaCadena($B45,N$17,$D$6,$D$7,$D$8)</f>
        <v>#VALUE!</v>
      </c>
      <c r="O45" s="13" t="e">
        <f>[1]!SaldoContableCuentaCadena($B45,O$17,$D$6,$D$7,$D$8)</f>
        <v>#VALUE!</v>
      </c>
      <c r="P45" s="24" t="e">
        <f t="shared" si="3"/>
        <v>#VALUE!</v>
      </c>
    </row>
    <row r="46" spans="2:16" ht="15" customHeight="1" x14ac:dyDescent="0.25">
      <c r="B46" s="22">
        <v>60152</v>
      </c>
      <c r="C46" s="31" t="s">
        <v>58</v>
      </c>
      <c r="D46" s="13" t="e">
        <f>[1]!SaldoContableCuentaCadena($B46,D$17,$D$6,$D$7,$D$8)</f>
        <v>#VALUE!</v>
      </c>
      <c r="E46" s="13" t="e">
        <f>[1]!SaldoContableCuentaCadena($B46,E$17,$D$6,$D$7,$D$8)</f>
        <v>#VALUE!</v>
      </c>
      <c r="F46" s="13" t="e">
        <f>[1]!SaldoContableCuentaCadena($B46,F$17,$D$6,$D$7,$D$8)</f>
        <v>#VALUE!</v>
      </c>
      <c r="G46" s="13" t="e">
        <f>[1]!SaldoContableCuentaCadena($B46,G$17,$D$6,$D$7,$D$8)</f>
        <v>#VALUE!</v>
      </c>
      <c r="H46" s="13" t="e">
        <f>[1]!SaldoContableCuentaCadena($B46,H$17,$D$6,$D$7,$D$8)</f>
        <v>#VALUE!</v>
      </c>
      <c r="I46" s="13" t="e">
        <f>[1]!SaldoContableCuentaCadena($B46,I$17,$D$6,$D$7,$D$8)</f>
        <v>#VALUE!</v>
      </c>
      <c r="J46" s="13" t="e">
        <f>[1]!SaldoContableCuentaCadena($B46,J$17,$D$6,$D$7,$D$8)</f>
        <v>#VALUE!</v>
      </c>
      <c r="K46" s="13" t="e">
        <f>[1]!SaldoContableCuentaCadena($B46,K$17,$D$6,$D$7,$D$8)</f>
        <v>#VALUE!</v>
      </c>
      <c r="L46" s="13" t="e">
        <f>[1]!SaldoContableCuentaCadena($B46,L$17,$D$6,$D$7,$D$8)</f>
        <v>#VALUE!</v>
      </c>
      <c r="M46" s="13" t="e">
        <f>[1]!SaldoContableCuentaCadena($B46,M$17,$D$6,$D$7,$D$8)</f>
        <v>#VALUE!</v>
      </c>
      <c r="N46" s="13" t="e">
        <f>[1]!SaldoContableCuentaCadena($B46,N$17,$D$6,$D$7,$D$8)</f>
        <v>#VALUE!</v>
      </c>
      <c r="O46" s="13" t="e">
        <f>[1]!SaldoContableCuentaCadena($B46,O$17,$D$6,$D$7,$D$8)</f>
        <v>#VALUE!</v>
      </c>
      <c r="P46" s="24" t="e">
        <f t="shared" si="3"/>
        <v>#VALUE!</v>
      </c>
    </row>
    <row r="47" spans="2:16" ht="15" customHeight="1" x14ac:dyDescent="0.25">
      <c r="B47" s="22">
        <v>60153</v>
      </c>
      <c r="C47" s="31" t="s">
        <v>59</v>
      </c>
      <c r="D47" s="13" t="e">
        <f>[1]!SaldoContableCuentaCadena($B47,D$17,$D$6,$D$7,$D$8)</f>
        <v>#VALUE!</v>
      </c>
      <c r="E47" s="13" t="e">
        <f>[1]!SaldoContableCuentaCadena($B47,E$17,$D$6,$D$7,$D$8)</f>
        <v>#VALUE!</v>
      </c>
      <c r="F47" s="13" t="e">
        <f>[1]!SaldoContableCuentaCadena($B47,F$17,$D$6,$D$7,$D$8)</f>
        <v>#VALUE!</v>
      </c>
      <c r="G47" s="13" t="e">
        <f>[1]!SaldoContableCuentaCadena($B47,G$17,$D$6,$D$7,$D$8)</f>
        <v>#VALUE!</v>
      </c>
      <c r="H47" s="13" t="e">
        <f>[1]!SaldoContableCuentaCadena($B47,H$17,$D$6,$D$7,$D$8)</f>
        <v>#VALUE!</v>
      </c>
      <c r="I47" s="13" t="e">
        <f>[1]!SaldoContableCuentaCadena($B47,I$17,$D$6,$D$7,$D$8)</f>
        <v>#VALUE!</v>
      </c>
      <c r="J47" s="13" t="e">
        <f>[1]!SaldoContableCuentaCadena($B47,J$17,$D$6,$D$7,$D$8)</f>
        <v>#VALUE!</v>
      </c>
      <c r="K47" s="13" t="e">
        <f>[1]!SaldoContableCuentaCadena($B47,K$17,$D$6,$D$7,$D$8)</f>
        <v>#VALUE!</v>
      </c>
      <c r="L47" s="13" t="e">
        <f>[1]!SaldoContableCuentaCadena($B47,L$17,$D$6,$D$7,$D$8)</f>
        <v>#VALUE!</v>
      </c>
      <c r="M47" s="13" t="e">
        <f>[1]!SaldoContableCuentaCadena($B47,M$17,$D$6,$D$7,$D$8)</f>
        <v>#VALUE!</v>
      </c>
      <c r="N47" s="13" t="e">
        <f>[1]!SaldoContableCuentaCadena($B47,N$17,$D$6,$D$7,$D$8)</f>
        <v>#VALUE!</v>
      </c>
      <c r="O47" s="13" t="e">
        <f>[1]!SaldoContableCuentaCadena($B47,O$17,$D$6,$D$7,$D$8)</f>
        <v>#VALUE!</v>
      </c>
      <c r="P47" s="24" t="e">
        <f t="shared" si="3"/>
        <v>#VALUE!</v>
      </c>
    </row>
    <row r="48" spans="2:16" ht="15" customHeight="1" x14ac:dyDescent="0.25">
      <c r="B48" s="22">
        <v>60154</v>
      </c>
      <c r="C48" s="31" t="s">
        <v>60</v>
      </c>
      <c r="D48" s="13" t="e">
        <f>[1]!SaldoContableCuentaCadena($B48,D$17,$D$6,$D$7,$D$8)</f>
        <v>#VALUE!</v>
      </c>
      <c r="E48" s="13" t="e">
        <f>[1]!SaldoContableCuentaCadena($B48,E$17,$D$6,$D$7,$D$8)</f>
        <v>#VALUE!</v>
      </c>
      <c r="F48" s="13" t="e">
        <f>[1]!SaldoContableCuentaCadena($B48,F$17,$D$6,$D$7,$D$8)</f>
        <v>#VALUE!</v>
      </c>
      <c r="G48" s="13" t="e">
        <f>[1]!SaldoContableCuentaCadena($B48,G$17,$D$6,$D$7,$D$8)</f>
        <v>#VALUE!</v>
      </c>
      <c r="H48" s="13" t="e">
        <f>[1]!SaldoContableCuentaCadena($B48,H$17,$D$6,$D$7,$D$8)</f>
        <v>#VALUE!</v>
      </c>
      <c r="I48" s="13" t="e">
        <f>[1]!SaldoContableCuentaCadena($B48,I$17,$D$6,$D$7,$D$8)</f>
        <v>#VALUE!</v>
      </c>
      <c r="J48" s="13" t="e">
        <f>[1]!SaldoContableCuentaCadena($B48,J$17,$D$6,$D$7,$D$8)</f>
        <v>#VALUE!</v>
      </c>
      <c r="K48" s="13" t="e">
        <f>[1]!SaldoContableCuentaCadena($B48,K$17,$D$6,$D$7,$D$8)</f>
        <v>#VALUE!</v>
      </c>
      <c r="L48" s="13" t="e">
        <f>[1]!SaldoContableCuentaCadena($B48,L$17,$D$6,$D$7,$D$8)</f>
        <v>#VALUE!</v>
      </c>
      <c r="M48" s="13" t="e">
        <f>[1]!SaldoContableCuentaCadena($B48,M$17,$D$6,$D$7,$D$8)</f>
        <v>#VALUE!</v>
      </c>
      <c r="N48" s="13" t="e">
        <f>[1]!SaldoContableCuentaCadena($B48,N$17,$D$6,$D$7,$D$8)</f>
        <v>#VALUE!</v>
      </c>
      <c r="O48" s="13" t="e">
        <f>[1]!SaldoContableCuentaCadena($B48,O$17,$D$6,$D$7,$D$8)</f>
        <v>#VALUE!</v>
      </c>
      <c r="P48" s="24" t="e">
        <f t="shared" si="3"/>
        <v>#VALUE!</v>
      </c>
    </row>
    <row r="49" spans="2:16" ht="15" customHeight="1" x14ac:dyDescent="0.25">
      <c r="B49" s="22">
        <v>60155</v>
      </c>
      <c r="C49" s="31" t="s">
        <v>61</v>
      </c>
      <c r="D49" s="13" t="e">
        <f>[1]!SaldoContableCuentaCadena($B49,D$17,$D$6,$D$7,$D$8)</f>
        <v>#VALUE!</v>
      </c>
      <c r="E49" s="13" t="e">
        <f>[1]!SaldoContableCuentaCadena($B49,E$17,$D$6,$D$7,$D$8)</f>
        <v>#VALUE!</v>
      </c>
      <c r="F49" s="13" t="e">
        <f>[1]!SaldoContableCuentaCadena($B49,F$17,$D$6,$D$7,$D$8)</f>
        <v>#VALUE!</v>
      </c>
      <c r="G49" s="13" t="e">
        <f>[1]!SaldoContableCuentaCadena($B49,G$17,$D$6,$D$7,$D$8)</f>
        <v>#VALUE!</v>
      </c>
      <c r="H49" s="13" t="e">
        <f>[1]!SaldoContableCuentaCadena($B49,H$17,$D$6,$D$7,$D$8)</f>
        <v>#VALUE!</v>
      </c>
      <c r="I49" s="13" t="e">
        <f>[1]!SaldoContableCuentaCadena($B49,I$17,$D$6,$D$7,$D$8)</f>
        <v>#VALUE!</v>
      </c>
      <c r="J49" s="13" t="e">
        <f>[1]!SaldoContableCuentaCadena($B49,J$17,$D$6,$D$7,$D$8)</f>
        <v>#VALUE!</v>
      </c>
      <c r="K49" s="13" t="e">
        <f>[1]!SaldoContableCuentaCadena($B49,K$17,$D$6,$D$7,$D$8)</f>
        <v>#VALUE!</v>
      </c>
      <c r="L49" s="13" t="e">
        <f>[1]!SaldoContableCuentaCadena($B49,L$17,$D$6,$D$7,$D$8)</f>
        <v>#VALUE!</v>
      </c>
      <c r="M49" s="13" t="e">
        <f>[1]!SaldoContableCuentaCadena($B49,M$17,$D$6,$D$7,$D$8)</f>
        <v>#VALUE!</v>
      </c>
      <c r="N49" s="13" t="e">
        <f>[1]!SaldoContableCuentaCadena($B49,N$17,$D$6,$D$7,$D$8)</f>
        <v>#VALUE!</v>
      </c>
      <c r="O49" s="13" t="e">
        <f>[1]!SaldoContableCuentaCadena($B49,O$17,$D$6,$D$7,$D$8)</f>
        <v>#VALUE!</v>
      </c>
      <c r="P49" s="24" t="e">
        <f t="shared" si="3"/>
        <v>#VALUE!</v>
      </c>
    </row>
    <row r="50" spans="2:16" ht="15" customHeight="1" x14ac:dyDescent="0.25">
      <c r="B50" s="22">
        <v>60156</v>
      </c>
      <c r="C50" s="31" t="s">
        <v>62</v>
      </c>
      <c r="D50" s="13" t="e">
        <f>[1]!SaldoContableCuentaCadena($B50,D$17,$D$6,$D$7,$D$8)</f>
        <v>#VALUE!</v>
      </c>
      <c r="E50" s="13" t="e">
        <f>[1]!SaldoContableCuentaCadena($B50,E$17,$D$6,$D$7,$D$8)</f>
        <v>#VALUE!</v>
      </c>
      <c r="F50" s="13" t="e">
        <f>[1]!SaldoContableCuentaCadena($B50,F$17,$D$6,$D$7,$D$8)</f>
        <v>#VALUE!</v>
      </c>
      <c r="G50" s="13" t="e">
        <f>[1]!SaldoContableCuentaCadena($B50,G$17,$D$6,$D$7,$D$8)</f>
        <v>#VALUE!</v>
      </c>
      <c r="H50" s="13" t="e">
        <f>[1]!SaldoContableCuentaCadena($B50,H$17,$D$6,$D$7,$D$8)</f>
        <v>#VALUE!</v>
      </c>
      <c r="I50" s="13" t="e">
        <f>[1]!SaldoContableCuentaCadena($B50,I$17,$D$6,$D$7,$D$8)</f>
        <v>#VALUE!</v>
      </c>
      <c r="J50" s="13" t="e">
        <f>[1]!SaldoContableCuentaCadena($B50,J$17,$D$6,$D$7,$D$8)</f>
        <v>#VALUE!</v>
      </c>
      <c r="K50" s="13" t="e">
        <f>[1]!SaldoContableCuentaCadena($B50,K$17,$D$6,$D$7,$D$8)</f>
        <v>#VALUE!</v>
      </c>
      <c r="L50" s="13" t="e">
        <f>[1]!SaldoContableCuentaCadena($B50,L$17,$D$6,$D$7,$D$8)</f>
        <v>#VALUE!</v>
      </c>
      <c r="M50" s="13" t="e">
        <f>[1]!SaldoContableCuentaCadena($B50,M$17,$D$6,$D$7,$D$8)</f>
        <v>#VALUE!</v>
      </c>
      <c r="N50" s="13" t="e">
        <f>[1]!SaldoContableCuentaCadena($B50,N$17,$D$6,$D$7,$D$8)</f>
        <v>#VALUE!</v>
      </c>
      <c r="O50" s="13" t="e">
        <f>[1]!SaldoContableCuentaCadena($B50,O$17,$D$6,$D$7,$D$8)</f>
        <v>#VALUE!</v>
      </c>
      <c r="P50" s="24" t="e">
        <f t="shared" si="3"/>
        <v>#VALUE!</v>
      </c>
    </row>
    <row r="51" spans="2:16" ht="15" customHeight="1" x14ac:dyDescent="0.25">
      <c r="B51" s="22">
        <v>60157</v>
      </c>
      <c r="C51" s="31" t="s">
        <v>63</v>
      </c>
      <c r="D51" s="13" t="e">
        <f>[1]!SaldoContableCuentaCadena($B51,D$17,$D$6,$D$7,$D$8)</f>
        <v>#VALUE!</v>
      </c>
      <c r="E51" s="13" t="e">
        <f>[1]!SaldoContableCuentaCadena($B51,E$17,$D$6,$D$7,$D$8)</f>
        <v>#VALUE!</v>
      </c>
      <c r="F51" s="13" t="e">
        <f>[1]!SaldoContableCuentaCadena($B51,F$17,$D$6,$D$7,$D$8)</f>
        <v>#VALUE!</v>
      </c>
      <c r="G51" s="13" t="e">
        <f>[1]!SaldoContableCuentaCadena($B51,G$17,$D$6,$D$7,$D$8)</f>
        <v>#VALUE!</v>
      </c>
      <c r="H51" s="13" t="e">
        <f>[1]!SaldoContableCuentaCadena($B51,H$17,$D$6,$D$7,$D$8)</f>
        <v>#VALUE!</v>
      </c>
      <c r="I51" s="13" t="e">
        <f>[1]!SaldoContableCuentaCadena($B51,I$17,$D$6,$D$7,$D$8)</f>
        <v>#VALUE!</v>
      </c>
      <c r="J51" s="13" t="e">
        <f>[1]!SaldoContableCuentaCadena($B51,J$17,$D$6,$D$7,$D$8)</f>
        <v>#VALUE!</v>
      </c>
      <c r="K51" s="13" t="e">
        <f>[1]!SaldoContableCuentaCadena($B51,K$17,$D$6,$D$7,$D$8)</f>
        <v>#VALUE!</v>
      </c>
      <c r="L51" s="13" t="e">
        <f>[1]!SaldoContableCuentaCadena($B51,L$17,$D$6,$D$7,$D$8)</f>
        <v>#VALUE!</v>
      </c>
      <c r="M51" s="13" t="e">
        <f>[1]!SaldoContableCuentaCadena($B51,M$17,$D$6,$D$7,$D$8)</f>
        <v>#VALUE!</v>
      </c>
      <c r="N51" s="13" t="e">
        <f>[1]!SaldoContableCuentaCadena($B51,N$17,$D$6,$D$7,$D$8)</f>
        <v>#VALUE!</v>
      </c>
      <c r="O51" s="13" t="e">
        <f>[1]!SaldoContableCuentaCadena($B51,O$17,$D$6,$D$7,$D$8)</f>
        <v>#VALUE!</v>
      </c>
      <c r="P51" s="24" t="e">
        <f t="shared" si="3"/>
        <v>#VALUE!</v>
      </c>
    </row>
    <row r="52" spans="2:16" ht="15" customHeight="1" x14ac:dyDescent="0.25">
      <c r="B52" s="22">
        <v>60158</v>
      </c>
      <c r="C52" s="31" t="s">
        <v>64</v>
      </c>
      <c r="D52" s="13" t="e">
        <f>[1]!SaldoContableCuentaCadena($B52,D$17,$D$6,$D$7,$D$8)</f>
        <v>#VALUE!</v>
      </c>
      <c r="E52" s="13" t="e">
        <f>[1]!SaldoContableCuentaCadena($B52,E$17,$D$6,$D$7,$D$8)</f>
        <v>#VALUE!</v>
      </c>
      <c r="F52" s="13" t="e">
        <f>[1]!SaldoContableCuentaCadena($B52,F$17,$D$6,$D$7,$D$8)</f>
        <v>#VALUE!</v>
      </c>
      <c r="G52" s="13" t="e">
        <f>[1]!SaldoContableCuentaCadena($B52,G$17,$D$6,$D$7,$D$8)</f>
        <v>#VALUE!</v>
      </c>
      <c r="H52" s="13" t="e">
        <f>[1]!SaldoContableCuentaCadena($B52,H$17,$D$6,$D$7,$D$8)</f>
        <v>#VALUE!</v>
      </c>
      <c r="I52" s="13" t="e">
        <f>[1]!SaldoContableCuentaCadena($B52,I$17,$D$6,$D$7,$D$8)</f>
        <v>#VALUE!</v>
      </c>
      <c r="J52" s="13" t="e">
        <f>[1]!SaldoContableCuentaCadena($B52,J$17,$D$6,$D$7,$D$8)</f>
        <v>#VALUE!</v>
      </c>
      <c r="K52" s="13" t="e">
        <f>[1]!SaldoContableCuentaCadena($B52,K$17,$D$6,$D$7,$D$8)</f>
        <v>#VALUE!</v>
      </c>
      <c r="L52" s="13" t="e">
        <f>[1]!SaldoContableCuentaCadena($B52,L$17,$D$6,$D$7,$D$8)</f>
        <v>#VALUE!</v>
      </c>
      <c r="M52" s="13" t="e">
        <f>[1]!SaldoContableCuentaCadena($B52,M$17,$D$6,$D$7,$D$8)</f>
        <v>#VALUE!</v>
      </c>
      <c r="N52" s="13" t="e">
        <f>[1]!SaldoContableCuentaCadena($B52,N$17,$D$6,$D$7,$D$8)</f>
        <v>#VALUE!</v>
      </c>
      <c r="O52" s="13" t="e">
        <f>[1]!SaldoContableCuentaCadena($B52,O$17,$D$6,$D$7,$D$8)</f>
        <v>#VALUE!</v>
      </c>
      <c r="P52" s="24" t="e">
        <f t="shared" si="3"/>
        <v>#VALUE!</v>
      </c>
    </row>
    <row r="53" spans="2:16" ht="15" customHeight="1" x14ac:dyDescent="0.25">
      <c r="B53" s="22">
        <v>60159</v>
      </c>
      <c r="C53" s="31" t="s">
        <v>65</v>
      </c>
      <c r="D53" s="13" t="e">
        <f>[1]!SaldoContableCuentaCadena($B53,D$17,$D$6,$D$7,$D$8)</f>
        <v>#VALUE!</v>
      </c>
      <c r="E53" s="13" t="e">
        <f>[1]!SaldoContableCuentaCadena($B53,E$17,$D$6,$D$7,$D$8)</f>
        <v>#VALUE!</v>
      </c>
      <c r="F53" s="13" t="e">
        <f>[1]!SaldoContableCuentaCadena($B53,F$17,$D$6,$D$7,$D$8)</f>
        <v>#VALUE!</v>
      </c>
      <c r="G53" s="13" t="e">
        <f>[1]!SaldoContableCuentaCadena($B53,G$17,$D$6,$D$7,$D$8)</f>
        <v>#VALUE!</v>
      </c>
      <c r="H53" s="13" t="e">
        <f>[1]!SaldoContableCuentaCadena($B53,H$17,$D$6,$D$7,$D$8)</f>
        <v>#VALUE!</v>
      </c>
      <c r="I53" s="13" t="e">
        <f>[1]!SaldoContableCuentaCadena($B53,I$17,$D$6,$D$7,$D$8)</f>
        <v>#VALUE!</v>
      </c>
      <c r="J53" s="13" t="e">
        <f>[1]!SaldoContableCuentaCadena($B53,J$17,$D$6,$D$7,$D$8)</f>
        <v>#VALUE!</v>
      </c>
      <c r="K53" s="13" t="e">
        <f>[1]!SaldoContableCuentaCadena($B53,K$17,$D$6,$D$7,$D$8)</f>
        <v>#VALUE!</v>
      </c>
      <c r="L53" s="13" t="e">
        <f>[1]!SaldoContableCuentaCadena($B53,L$17,$D$6,$D$7,$D$8)</f>
        <v>#VALUE!</v>
      </c>
      <c r="M53" s="13" t="e">
        <f>[1]!SaldoContableCuentaCadena($B53,M$17,$D$6,$D$7,$D$8)</f>
        <v>#VALUE!</v>
      </c>
      <c r="N53" s="13" t="e">
        <f>[1]!SaldoContableCuentaCadena($B53,N$17,$D$6,$D$7,$D$8)</f>
        <v>#VALUE!</v>
      </c>
      <c r="O53" s="13" t="e">
        <f>[1]!SaldoContableCuentaCadena($B53,O$17,$D$6,$D$7,$D$8)</f>
        <v>#VALUE!</v>
      </c>
      <c r="P53" s="24" t="e">
        <f t="shared" si="3"/>
        <v>#VALUE!</v>
      </c>
    </row>
    <row r="54" spans="2:16" ht="15" customHeight="1" x14ac:dyDescent="0.25">
      <c r="B54" s="22">
        <v>60160</v>
      </c>
      <c r="C54" s="31" t="s">
        <v>66</v>
      </c>
      <c r="D54" s="13" t="e">
        <f>[1]!SaldoContableCuentaCadena($B54,D$17,$D$6,$D$7,$D$8)</f>
        <v>#VALUE!</v>
      </c>
      <c r="E54" s="13" t="e">
        <f>[1]!SaldoContableCuentaCadena($B54,E$17,$D$6,$D$7,$D$8)</f>
        <v>#VALUE!</v>
      </c>
      <c r="F54" s="13" t="e">
        <f>[1]!SaldoContableCuentaCadena($B54,F$17,$D$6,$D$7,$D$8)</f>
        <v>#VALUE!</v>
      </c>
      <c r="G54" s="13" t="e">
        <f>[1]!SaldoContableCuentaCadena($B54,G$17,$D$6,$D$7,$D$8)</f>
        <v>#VALUE!</v>
      </c>
      <c r="H54" s="13" t="e">
        <f>[1]!SaldoContableCuentaCadena($B54,H$17,$D$6,$D$7,$D$8)</f>
        <v>#VALUE!</v>
      </c>
      <c r="I54" s="13" t="e">
        <f>[1]!SaldoContableCuentaCadena($B54,I$17,$D$6,$D$7,$D$8)</f>
        <v>#VALUE!</v>
      </c>
      <c r="J54" s="13" t="e">
        <f>[1]!SaldoContableCuentaCadena($B54,J$17,$D$6,$D$7,$D$8)</f>
        <v>#VALUE!</v>
      </c>
      <c r="K54" s="13" t="e">
        <f>[1]!SaldoContableCuentaCadena($B54,K$17,$D$6,$D$7,$D$8)</f>
        <v>#VALUE!</v>
      </c>
      <c r="L54" s="13" t="e">
        <f>[1]!SaldoContableCuentaCadena($B54,L$17,$D$6,$D$7,$D$8)</f>
        <v>#VALUE!</v>
      </c>
      <c r="M54" s="13" t="e">
        <f>[1]!SaldoContableCuentaCadena($B54,M$17,$D$6,$D$7,$D$8)</f>
        <v>#VALUE!</v>
      </c>
      <c r="N54" s="13" t="e">
        <f>[1]!SaldoContableCuentaCadena($B54,N$17,$D$6,$D$7,$D$8)</f>
        <v>#VALUE!</v>
      </c>
      <c r="O54" s="13" t="e">
        <f>[1]!SaldoContableCuentaCadena($B54,O$17,$D$6,$D$7,$D$8)</f>
        <v>#VALUE!</v>
      </c>
      <c r="P54" s="24" t="e">
        <f t="shared" si="3"/>
        <v>#VALUE!</v>
      </c>
    </row>
    <row r="55" spans="2:16" ht="15" customHeight="1" x14ac:dyDescent="0.25">
      <c r="B55" s="22">
        <v>60161</v>
      </c>
      <c r="C55" s="31" t="s">
        <v>67</v>
      </c>
      <c r="D55" s="13" t="e">
        <f>[1]!SaldoContableCuentaCadena($B55,D$17,$D$6,$D$7,$D$8)</f>
        <v>#VALUE!</v>
      </c>
      <c r="E55" s="13" t="e">
        <f>[1]!SaldoContableCuentaCadena($B55,E$17,$D$6,$D$7,$D$8)</f>
        <v>#VALUE!</v>
      </c>
      <c r="F55" s="13" t="e">
        <f>[1]!SaldoContableCuentaCadena($B55,F$17,$D$6,$D$7,$D$8)</f>
        <v>#VALUE!</v>
      </c>
      <c r="G55" s="13" t="e">
        <f>[1]!SaldoContableCuentaCadena($B55,G$17,$D$6,$D$7,$D$8)</f>
        <v>#VALUE!</v>
      </c>
      <c r="H55" s="13" t="e">
        <f>[1]!SaldoContableCuentaCadena($B55,H$17,$D$6,$D$7,$D$8)</f>
        <v>#VALUE!</v>
      </c>
      <c r="I55" s="13" t="e">
        <f>[1]!SaldoContableCuentaCadena($B55,I$17,$D$6,$D$7,$D$8)</f>
        <v>#VALUE!</v>
      </c>
      <c r="J55" s="13" t="e">
        <f>[1]!SaldoContableCuentaCadena($B55,J$17,$D$6,$D$7,$D$8)</f>
        <v>#VALUE!</v>
      </c>
      <c r="K55" s="13" t="e">
        <f>[1]!SaldoContableCuentaCadena($B55,K$17,$D$6,$D$7,$D$8)</f>
        <v>#VALUE!</v>
      </c>
      <c r="L55" s="13" t="e">
        <f>[1]!SaldoContableCuentaCadena($B55,L$17,$D$6,$D$7,$D$8)</f>
        <v>#VALUE!</v>
      </c>
      <c r="M55" s="13" t="e">
        <f>[1]!SaldoContableCuentaCadena($B55,M$17,$D$6,$D$7,$D$8)</f>
        <v>#VALUE!</v>
      </c>
      <c r="N55" s="13" t="e">
        <f>[1]!SaldoContableCuentaCadena($B55,N$17,$D$6,$D$7,$D$8)</f>
        <v>#VALUE!</v>
      </c>
      <c r="O55" s="13" t="e">
        <f>[1]!SaldoContableCuentaCadena($B55,O$17,$D$6,$D$7,$D$8)</f>
        <v>#VALUE!</v>
      </c>
      <c r="P55" s="24" t="e">
        <f t="shared" si="3"/>
        <v>#VALUE!</v>
      </c>
    </row>
    <row r="56" spans="2:16" ht="15" customHeight="1" x14ac:dyDescent="0.25">
      <c r="B56" s="22">
        <v>60162</v>
      </c>
      <c r="C56" s="31" t="s">
        <v>68</v>
      </c>
      <c r="D56" s="13" t="e">
        <f>[1]!SaldoContableCuentaCadena($B56,D$17,$D$6,$D$7,$D$8)</f>
        <v>#VALUE!</v>
      </c>
      <c r="E56" s="13" t="e">
        <f>[1]!SaldoContableCuentaCadena($B56,E$17,$D$6,$D$7,$D$8)</f>
        <v>#VALUE!</v>
      </c>
      <c r="F56" s="13" t="e">
        <f>[1]!SaldoContableCuentaCadena($B56,F$17,$D$6,$D$7,$D$8)</f>
        <v>#VALUE!</v>
      </c>
      <c r="G56" s="13" t="e">
        <f>[1]!SaldoContableCuentaCadena($B56,G$17,$D$6,$D$7,$D$8)</f>
        <v>#VALUE!</v>
      </c>
      <c r="H56" s="13" t="e">
        <f>[1]!SaldoContableCuentaCadena($B56,H$17,$D$6,$D$7,$D$8)</f>
        <v>#VALUE!</v>
      </c>
      <c r="I56" s="13" t="e">
        <f>[1]!SaldoContableCuentaCadena($B56,I$17,$D$6,$D$7,$D$8)</f>
        <v>#VALUE!</v>
      </c>
      <c r="J56" s="13" t="e">
        <f>[1]!SaldoContableCuentaCadena($B56,J$17,$D$6,$D$7,$D$8)</f>
        <v>#VALUE!</v>
      </c>
      <c r="K56" s="13" t="e">
        <f>[1]!SaldoContableCuentaCadena($B56,K$17,$D$6,$D$7,$D$8)</f>
        <v>#VALUE!</v>
      </c>
      <c r="L56" s="13" t="e">
        <f>[1]!SaldoContableCuentaCadena($B56,L$17,$D$6,$D$7,$D$8)</f>
        <v>#VALUE!</v>
      </c>
      <c r="M56" s="13" t="e">
        <f>[1]!SaldoContableCuentaCadena($B56,M$17,$D$6,$D$7,$D$8)</f>
        <v>#VALUE!</v>
      </c>
      <c r="N56" s="13" t="e">
        <f>[1]!SaldoContableCuentaCadena($B56,N$17,$D$6,$D$7,$D$8)</f>
        <v>#VALUE!</v>
      </c>
      <c r="O56" s="13" t="e">
        <f>[1]!SaldoContableCuentaCadena($B56,O$17,$D$6,$D$7,$D$8)</f>
        <v>#VALUE!</v>
      </c>
      <c r="P56" s="24" t="e">
        <f t="shared" si="3"/>
        <v>#VALUE!</v>
      </c>
    </row>
    <row r="57" spans="2:16" ht="15" customHeight="1" x14ac:dyDescent="0.25">
      <c r="B57" s="22">
        <v>60163</v>
      </c>
      <c r="C57" s="31" t="s">
        <v>69</v>
      </c>
      <c r="D57" s="13" t="e">
        <f>[1]!SaldoContableCuentaCadena($B57,D$17,$D$6,$D$7,$D$8)</f>
        <v>#VALUE!</v>
      </c>
      <c r="E57" s="13" t="e">
        <f>[1]!SaldoContableCuentaCadena($B57,E$17,$D$6,$D$7,$D$8)</f>
        <v>#VALUE!</v>
      </c>
      <c r="F57" s="13" t="e">
        <f>[1]!SaldoContableCuentaCadena($B57,F$17,$D$6,$D$7,$D$8)</f>
        <v>#VALUE!</v>
      </c>
      <c r="G57" s="13" t="e">
        <f>[1]!SaldoContableCuentaCadena($B57,G$17,$D$6,$D$7,$D$8)</f>
        <v>#VALUE!</v>
      </c>
      <c r="H57" s="13" t="e">
        <f>[1]!SaldoContableCuentaCadena($B57,H$17,$D$6,$D$7,$D$8)</f>
        <v>#VALUE!</v>
      </c>
      <c r="I57" s="13" t="e">
        <f>[1]!SaldoContableCuentaCadena($B57,I$17,$D$6,$D$7,$D$8)</f>
        <v>#VALUE!</v>
      </c>
      <c r="J57" s="13" t="e">
        <f>[1]!SaldoContableCuentaCadena($B57,J$17,$D$6,$D$7,$D$8)</f>
        <v>#VALUE!</v>
      </c>
      <c r="K57" s="13" t="e">
        <f>[1]!SaldoContableCuentaCadena($B57,K$17,$D$6,$D$7,$D$8)</f>
        <v>#VALUE!</v>
      </c>
      <c r="L57" s="13" t="e">
        <f>[1]!SaldoContableCuentaCadena($B57,L$17,$D$6,$D$7,$D$8)</f>
        <v>#VALUE!</v>
      </c>
      <c r="M57" s="13" t="e">
        <f>[1]!SaldoContableCuentaCadena($B57,M$17,$D$6,$D$7,$D$8)</f>
        <v>#VALUE!</v>
      </c>
      <c r="N57" s="13" t="e">
        <f>[1]!SaldoContableCuentaCadena($B57,N$17,$D$6,$D$7,$D$8)</f>
        <v>#VALUE!</v>
      </c>
      <c r="O57" s="13" t="e">
        <f>[1]!SaldoContableCuentaCadena($B57,O$17,$D$6,$D$7,$D$8)</f>
        <v>#VALUE!</v>
      </c>
      <c r="P57" s="24" t="e">
        <f t="shared" si="3"/>
        <v>#VALUE!</v>
      </c>
    </row>
    <row r="58" spans="2:16" ht="15" customHeight="1" x14ac:dyDescent="0.25">
      <c r="B58" s="22">
        <v>60164</v>
      </c>
      <c r="C58" s="31" t="s">
        <v>70</v>
      </c>
      <c r="D58" s="13" t="e">
        <f>[1]!SaldoContableCuentaCadena($B58,D$17,$D$6,$D$7,$D$8)</f>
        <v>#VALUE!</v>
      </c>
      <c r="E58" s="13" t="e">
        <f>[1]!SaldoContableCuentaCadena($B58,E$17,$D$6,$D$7,$D$8)</f>
        <v>#VALUE!</v>
      </c>
      <c r="F58" s="13" t="e">
        <f>[1]!SaldoContableCuentaCadena($B58,F$17,$D$6,$D$7,$D$8)</f>
        <v>#VALUE!</v>
      </c>
      <c r="G58" s="13" t="e">
        <f>[1]!SaldoContableCuentaCadena($B58,G$17,$D$6,$D$7,$D$8)</f>
        <v>#VALUE!</v>
      </c>
      <c r="H58" s="13" t="e">
        <f>[1]!SaldoContableCuentaCadena($B58,H$17,$D$6,$D$7,$D$8)</f>
        <v>#VALUE!</v>
      </c>
      <c r="I58" s="13" t="e">
        <f>[1]!SaldoContableCuentaCadena($B58,I$17,$D$6,$D$7,$D$8)</f>
        <v>#VALUE!</v>
      </c>
      <c r="J58" s="13" t="e">
        <f>[1]!SaldoContableCuentaCadena($B58,J$17,$D$6,$D$7,$D$8)</f>
        <v>#VALUE!</v>
      </c>
      <c r="K58" s="13" t="e">
        <f>[1]!SaldoContableCuentaCadena($B58,K$17,$D$6,$D$7,$D$8)</f>
        <v>#VALUE!</v>
      </c>
      <c r="L58" s="13" t="e">
        <f>[1]!SaldoContableCuentaCadena($B58,L$17,$D$6,$D$7,$D$8)</f>
        <v>#VALUE!</v>
      </c>
      <c r="M58" s="13" t="e">
        <f>[1]!SaldoContableCuentaCadena($B58,M$17,$D$6,$D$7,$D$8)</f>
        <v>#VALUE!</v>
      </c>
      <c r="N58" s="13" t="e">
        <f>[1]!SaldoContableCuentaCadena($B58,N$17,$D$6,$D$7,$D$8)</f>
        <v>#VALUE!</v>
      </c>
      <c r="O58" s="13" t="e">
        <f>[1]!SaldoContableCuentaCadena($B58,O$17,$D$6,$D$7,$D$8)</f>
        <v>#VALUE!</v>
      </c>
      <c r="P58" s="24" t="e">
        <f t="shared" si="3"/>
        <v>#VALUE!</v>
      </c>
    </row>
    <row r="59" spans="2:16" ht="15" customHeight="1" x14ac:dyDescent="0.25">
      <c r="B59" s="32" t="s">
        <v>71</v>
      </c>
      <c r="C59" s="31" t="s">
        <v>72</v>
      </c>
      <c r="D59" s="13" t="e">
        <f>[1]!SaldoContableCuentaCadena($B59,D$17,$D$6,$D$7,$D$8)</f>
        <v>#VALUE!</v>
      </c>
      <c r="E59" s="13" t="e">
        <f>[1]!SaldoContableCuentaCadena($B59,E$17,$D$6,$D$7,$D$8)</f>
        <v>#VALUE!</v>
      </c>
      <c r="F59" s="13" t="e">
        <f>[1]!SaldoContableCuentaCadena($B59,F$17,$D$6,$D$7,$D$8)</f>
        <v>#VALUE!</v>
      </c>
      <c r="G59" s="13" t="e">
        <f>[1]!SaldoContableCuentaCadena($B59,G$17,$D$6,$D$7,$D$8)</f>
        <v>#VALUE!</v>
      </c>
      <c r="H59" s="13" t="e">
        <f>[1]!SaldoContableCuentaCadena($B59,H$17,$D$6,$D$7,$D$8)</f>
        <v>#VALUE!</v>
      </c>
      <c r="I59" s="13" t="e">
        <f>[1]!SaldoContableCuentaCadena($B59,I$17,$D$6,$D$7,$D$8)</f>
        <v>#VALUE!</v>
      </c>
      <c r="J59" s="13" t="e">
        <f>[1]!SaldoContableCuentaCadena($B59,J$17,$D$6,$D$7,$D$8)</f>
        <v>#VALUE!</v>
      </c>
      <c r="K59" s="13" t="e">
        <f>[1]!SaldoContableCuentaCadena($B59,K$17,$D$6,$D$7,$D$8)</f>
        <v>#VALUE!</v>
      </c>
      <c r="L59" s="13" t="e">
        <f>[1]!SaldoContableCuentaCadena($B59,L$17,$D$6,$D$7,$D$8)</f>
        <v>#VALUE!</v>
      </c>
      <c r="M59" s="13" t="e">
        <f>[1]!SaldoContableCuentaCadena($B59,M$17,$D$6,$D$7,$D$8)</f>
        <v>#VALUE!</v>
      </c>
      <c r="N59" s="13" t="e">
        <f>[1]!SaldoContableCuentaCadena($B59,N$17,$D$6,$D$7,$D$8)</f>
        <v>#VALUE!</v>
      </c>
      <c r="O59" s="13" t="e">
        <f>[1]!SaldoContableCuentaCadena($B59,O$17,$D$6,$D$7,$D$8)</f>
        <v>#VALUE!</v>
      </c>
      <c r="P59" s="24" t="e">
        <f t="shared" si="3"/>
        <v>#VALUE!</v>
      </c>
    </row>
    <row r="60" spans="2:16" ht="15" customHeight="1" x14ac:dyDescent="0.25">
      <c r="B60" s="22">
        <v>60172</v>
      </c>
      <c r="C60" s="31" t="s">
        <v>73</v>
      </c>
      <c r="D60" s="13" t="e">
        <f>[1]!SaldoContableCuentaCadena($B60,D$17,$D$6,$D$7,$D$8)</f>
        <v>#VALUE!</v>
      </c>
      <c r="E60" s="13" t="e">
        <f>[1]!SaldoContableCuentaCadena($B60,E$17,$D$6,$D$7,$D$8)</f>
        <v>#VALUE!</v>
      </c>
      <c r="F60" s="13" t="e">
        <f>[1]!SaldoContableCuentaCadena($B60,F$17,$D$6,$D$7,$D$8)</f>
        <v>#VALUE!</v>
      </c>
      <c r="G60" s="13" t="e">
        <f>[1]!SaldoContableCuentaCadena($B60,G$17,$D$6,$D$7,$D$8)</f>
        <v>#VALUE!</v>
      </c>
      <c r="H60" s="13" t="e">
        <f>[1]!SaldoContableCuentaCadena($B60,H$17,$D$6,$D$7,$D$8)</f>
        <v>#VALUE!</v>
      </c>
      <c r="I60" s="13" t="e">
        <f>[1]!SaldoContableCuentaCadena($B60,I$17,$D$6,$D$7,$D$8)</f>
        <v>#VALUE!</v>
      </c>
      <c r="J60" s="13" t="e">
        <f>[1]!SaldoContableCuentaCadena($B60,J$17,$D$6,$D$7,$D$8)</f>
        <v>#VALUE!</v>
      </c>
      <c r="K60" s="13" t="e">
        <f>[1]!SaldoContableCuentaCadena($B60,K$17,$D$6,$D$7,$D$8)</f>
        <v>#VALUE!</v>
      </c>
      <c r="L60" s="13" t="e">
        <f>[1]!SaldoContableCuentaCadena($B60,L$17,$D$6,$D$7,$D$8)</f>
        <v>#VALUE!</v>
      </c>
      <c r="M60" s="13" t="e">
        <f>[1]!SaldoContableCuentaCadena($B60,M$17,$D$6,$D$7,$D$8)</f>
        <v>#VALUE!</v>
      </c>
      <c r="N60" s="13" t="e">
        <f>[1]!SaldoContableCuentaCadena($B60,N$17,$D$6,$D$7,$D$8)</f>
        <v>#VALUE!</v>
      </c>
      <c r="O60" s="13" t="e">
        <f>[1]!SaldoContableCuentaCadena($B60,O$17,$D$6,$D$7,$D$8)</f>
        <v>#VALUE!</v>
      </c>
      <c r="P60" s="24" t="e">
        <f t="shared" si="3"/>
        <v>#VALUE!</v>
      </c>
    </row>
    <row r="61" spans="2:16" ht="15" customHeight="1" x14ac:dyDescent="0.25">
      <c r="B61" s="22">
        <v>60173</v>
      </c>
      <c r="C61" s="31" t="s">
        <v>74</v>
      </c>
      <c r="D61" s="13" t="e">
        <f>[1]!SaldoContableCuentaCadena($B61,D$17,$D$6,$D$7,$D$8)</f>
        <v>#VALUE!</v>
      </c>
      <c r="E61" s="13" t="e">
        <f>[1]!SaldoContableCuentaCadena($B61,E$17,$D$6,$D$7,$D$8)</f>
        <v>#VALUE!</v>
      </c>
      <c r="F61" s="13" t="e">
        <f>[1]!SaldoContableCuentaCadena($B61,F$17,$D$6,$D$7,$D$8)</f>
        <v>#VALUE!</v>
      </c>
      <c r="G61" s="13" t="e">
        <f>[1]!SaldoContableCuentaCadena($B61,G$17,$D$6,$D$7,$D$8)</f>
        <v>#VALUE!</v>
      </c>
      <c r="H61" s="13" t="e">
        <f>[1]!SaldoContableCuentaCadena($B61,H$17,$D$6,$D$7,$D$8)</f>
        <v>#VALUE!</v>
      </c>
      <c r="I61" s="13" t="e">
        <f>[1]!SaldoContableCuentaCadena($B61,I$17,$D$6,$D$7,$D$8)</f>
        <v>#VALUE!</v>
      </c>
      <c r="J61" s="13" t="e">
        <f>[1]!SaldoContableCuentaCadena($B61,J$17,$D$6,$D$7,$D$8)</f>
        <v>#VALUE!</v>
      </c>
      <c r="K61" s="13" t="e">
        <f>[1]!SaldoContableCuentaCadena($B61,K$17,$D$6,$D$7,$D$8)</f>
        <v>#VALUE!</v>
      </c>
      <c r="L61" s="13" t="e">
        <f>[1]!SaldoContableCuentaCadena($B61,L$17,$D$6,$D$7,$D$8)</f>
        <v>#VALUE!</v>
      </c>
      <c r="M61" s="13" t="e">
        <f>[1]!SaldoContableCuentaCadena($B61,M$17,$D$6,$D$7,$D$8)</f>
        <v>#VALUE!</v>
      </c>
      <c r="N61" s="13" t="e">
        <f>[1]!SaldoContableCuentaCadena($B61,N$17,$D$6,$D$7,$D$8)</f>
        <v>#VALUE!</v>
      </c>
      <c r="O61" s="13" t="e">
        <f>[1]!SaldoContableCuentaCadena($B61,O$17,$D$6,$D$7,$D$8)</f>
        <v>#VALUE!</v>
      </c>
      <c r="P61" s="24" t="e">
        <f t="shared" si="3"/>
        <v>#VALUE!</v>
      </c>
    </row>
    <row r="62" spans="2:16" ht="15" customHeight="1" x14ac:dyDescent="0.25">
      <c r="B62" s="22">
        <v>60174</v>
      </c>
      <c r="C62" s="31" t="s">
        <v>75</v>
      </c>
      <c r="D62" s="13" t="e">
        <f>[1]!SaldoContableCuentaCadena($B62,D$17,$D$6,$D$7,$D$8)</f>
        <v>#VALUE!</v>
      </c>
      <c r="E62" s="13" t="e">
        <f>[1]!SaldoContableCuentaCadena($B62,E$17,$D$6,$D$7,$D$8)</f>
        <v>#VALUE!</v>
      </c>
      <c r="F62" s="13" t="e">
        <f>[1]!SaldoContableCuentaCadena($B62,F$17,$D$6,$D$7,$D$8)</f>
        <v>#VALUE!</v>
      </c>
      <c r="G62" s="13" t="e">
        <f>[1]!SaldoContableCuentaCadena($B62,G$17,$D$6,$D$7,$D$8)</f>
        <v>#VALUE!</v>
      </c>
      <c r="H62" s="13" t="e">
        <f>[1]!SaldoContableCuentaCadena($B62,H$17,$D$6,$D$7,$D$8)</f>
        <v>#VALUE!</v>
      </c>
      <c r="I62" s="13" t="e">
        <f>[1]!SaldoContableCuentaCadena($B62,I$17,$D$6,$D$7,$D$8)</f>
        <v>#VALUE!</v>
      </c>
      <c r="J62" s="13" t="e">
        <f>[1]!SaldoContableCuentaCadena($B62,J$17,$D$6,$D$7,$D$8)</f>
        <v>#VALUE!</v>
      </c>
      <c r="K62" s="13" t="e">
        <f>[1]!SaldoContableCuentaCadena($B62,K$17,$D$6,$D$7,$D$8)</f>
        <v>#VALUE!</v>
      </c>
      <c r="L62" s="13" t="e">
        <f>[1]!SaldoContableCuentaCadena($B62,L$17,$D$6,$D$7,$D$8)</f>
        <v>#VALUE!</v>
      </c>
      <c r="M62" s="13" t="e">
        <f>[1]!SaldoContableCuentaCadena($B62,M$17,$D$6,$D$7,$D$8)</f>
        <v>#VALUE!</v>
      </c>
      <c r="N62" s="13" t="e">
        <f>[1]!SaldoContableCuentaCadena($B62,N$17,$D$6,$D$7,$D$8)</f>
        <v>#VALUE!</v>
      </c>
      <c r="O62" s="13" t="e">
        <f>[1]!SaldoContableCuentaCadena($B62,O$17,$D$6,$D$7,$D$8)</f>
        <v>#VALUE!</v>
      </c>
      <c r="P62" s="24" t="e">
        <f t="shared" si="3"/>
        <v>#VALUE!</v>
      </c>
    </row>
    <row r="63" spans="2:16" ht="15" customHeight="1" x14ac:dyDescent="0.25">
      <c r="B63" s="22">
        <v>60175</v>
      </c>
      <c r="C63" s="31" t="s">
        <v>76</v>
      </c>
      <c r="D63" s="13" t="e">
        <f>[1]!SaldoContableCuentaCadena($B63,D$17,$D$6,$D$7,$D$8)</f>
        <v>#VALUE!</v>
      </c>
      <c r="E63" s="13" t="e">
        <f>[1]!SaldoContableCuentaCadena($B63,E$17,$D$6,$D$7,$D$8)</f>
        <v>#VALUE!</v>
      </c>
      <c r="F63" s="13" t="e">
        <f>[1]!SaldoContableCuentaCadena($B63,F$17,$D$6,$D$7,$D$8)</f>
        <v>#VALUE!</v>
      </c>
      <c r="G63" s="13" t="e">
        <f>[1]!SaldoContableCuentaCadena($B63,G$17,$D$6,$D$7,$D$8)</f>
        <v>#VALUE!</v>
      </c>
      <c r="H63" s="13" t="e">
        <f>[1]!SaldoContableCuentaCadena($B63,H$17,$D$6,$D$7,$D$8)</f>
        <v>#VALUE!</v>
      </c>
      <c r="I63" s="13" t="e">
        <f>[1]!SaldoContableCuentaCadena($B63,I$17,$D$6,$D$7,$D$8)</f>
        <v>#VALUE!</v>
      </c>
      <c r="J63" s="13" t="e">
        <f>[1]!SaldoContableCuentaCadena($B63,J$17,$D$6,$D$7,$D$8)</f>
        <v>#VALUE!</v>
      </c>
      <c r="K63" s="13" t="e">
        <f>[1]!SaldoContableCuentaCadena($B63,K$17,$D$6,$D$7,$D$8)</f>
        <v>#VALUE!</v>
      </c>
      <c r="L63" s="13" t="e">
        <f>[1]!SaldoContableCuentaCadena($B63,L$17,$D$6,$D$7,$D$8)</f>
        <v>#VALUE!</v>
      </c>
      <c r="M63" s="13" t="e">
        <f>[1]!SaldoContableCuentaCadena($B63,M$17,$D$6,$D$7,$D$8)</f>
        <v>#VALUE!</v>
      </c>
      <c r="N63" s="13" t="e">
        <f>[1]!SaldoContableCuentaCadena($B63,N$17,$D$6,$D$7,$D$8)</f>
        <v>#VALUE!</v>
      </c>
      <c r="O63" s="13" t="e">
        <f>[1]!SaldoContableCuentaCadena($B63,O$17,$D$6,$D$7,$D$8)</f>
        <v>#VALUE!</v>
      </c>
      <c r="P63" s="24" t="e">
        <f t="shared" si="3"/>
        <v>#VALUE!</v>
      </c>
    </row>
    <row r="64" spans="2:16" ht="15" customHeight="1" x14ac:dyDescent="0.25">
      <c r="B64" s="22">
        <v>60176</v>
      </c>
      <c r="C64" s="31" t="s">
        <v>77</v>
      </c>
      <c r="D64" s="13" t="e">
        <f>[1]!SaldoContableCuentaCadena($B64,D$17,$D$6,$D$7,$D$8)</f>
        <v>#VALUE!</v>
      </c>
      <c r="E64" s="13" t="e">
        <f>[1]!SaldoContableCuentaCadena($B64,E$17,$D$6,$D$7,$D$8)</f>
        <v>#VALUE!</v>
      </c>
      <c r="F64" s="13" t="e">
        <f>[1]!SaldoContableCuentaCadena($B64,F$17,$D$6,$D$7,$D$8)</f>
        <v>#VALUE!</v>
      </c>
      <c r="G64" s="13" t="e">
        <f>[1]!SaldoContableCuentaCadena($B64,G$17,$D$6,$D$7,$D$8)</f>
        <v>#VALUE!</v>
      </c>
      <c r="H64" s="13" t="e">
        <f>[1]!SaldoContableCuentaCadena($B64,H$17,$D$6,$D$7,$D$8)</f>
        <v>#VALUE!</v>
      </c>
      <c r="I64" s="13" t="e">
        <f>[1]!SaldoContableCuentaCadena($B64,I$17,$D$6,$D$7,$D$8)</f>
        <v>#VALUE!</v>
      </c>
      <c r="J64" s="13" t="e">
        <f>[1]!SaldoContableCuentaCadena($B64,J$17,$D$6,$D$7,$D$8)</f>
        <v>#VALUE!</v>
      </c>
      <c r="K64" s="13" t="e">
        <f>[1]!SaldoContableCuentaCadena($B64,K$17,$D$6,$D$7,$D$8)</f>
        <v>#VALUE!</v>
      </c>
      <c r="L64" s="13" t="e">
        <f>[1]!SaldoContableCuentaCadena($B64,L$17,$D$6,$D$7,$D$8)</f>
        <v>#VALUE!</v>
      </c>
      <c r="M64" s="13" t="e">
        <f>[1]!SaldoContableCuentaCadena($B64,M$17,$D$6,$D$7,$D$8)</f>
        <v>#VALUE!</v>
      </c>
      <c r="N64" s="13" t="e">
        <f>[1]!SaldoContableCuentaCadena($B64,N$17,$D$6,$D$7,$D$8)</f>
        <v>#VALUE!</v>
      </c>
      <c r="O64" s="13" t="e">
        <f>[1]!SaldoContableCuentaCadena($B64,O$17,$D$6,$D$7,$D$8)</f>
        <v>#VALUE!</v>
      </c>
      <c r="P64" s="24" t="e">
        <f t="shared" si="3"/>
        <v>#VALUE!</v>
      </c>
    </row>
    <row r="65" spans="1:16" ht="15" customHeight="1" x14ac:dyDescent="0.25">
      <c r="B65" s="22">
        <v>60177</v>
      </c>
      <c r="C65" s="31" t="s">
        <v>78</v>
      </c>
      <c r="D65" s="13" t="e">
        <f>[1]!SaldoContableCuentaCadena($B65,D$17,$D$6,$D$7,$D$8)</f>
        <v>#VALUE!</v>
      </c>
      <c r="E65" s="13" t="e">
        <f>[1]!SaldoContableCuentaCadena($B65,E$17,$D$6,$D$7,$D$8)</f>
        <v>#VALUE!</v>
      </c>
      <c r="F65" s="13" t="e">
        <f>[1]!SaldoContableCuentaCadena($B65,F$17,$D$6,$D$7,$D$8)</f>
        <v>#VALUE!</v>
      </c>
      <c r="G65" s="13" t="e">
        <f>[1]!SaldoContableCuentaCadena($B65,G$17,$D$6,$D$7,$D$8)</f>
        <v>#VALUE!</v>
      </c>
      <c r="H65" s="13" t="e">
        <f>[1]!SaldoContableCuentaCadena($B65,H$17,$D$6,$D$7,$D$8)</f>
        <v>#VALUE!</v>
      </c>
      <c r="I65" s="13" t="e">
        <f>[1]!SaldoContableCuentaCadena($B65,I$17,$D$6,$D$7,$D$8)</f>
        <v>#VALUE!</v>
      </c>
      <c r="J65" s="13" t="e">
        <f>[1]!SaldoContableCuentaCadena($B65,J$17,$D$6,$D$7,$D$8)</f>
        <v>#VALUE!</v>
      </c>
      <c r="K65" s="13" t="e">
        <f>[1]!SaldoContableCuentaCadena($B65,K$17,$D$6,$D$7,$D$8)</f>
        <v>#VALUE!</v>
      </c>
      <c r="L65" s="13" t="e">
        <f>[1]!SaldoContableCuentaCadena($B65,L$17,$D$6,$D$7,$D$8)</f>
        <v>#VALUE!</v>
      </c>
      <c r="M65" s="13" t="e">
        <f>[1]!SaldoContableCuentaCadena($B65,M$17,$D$6,$D$7,$D$8)</f>
        <v>#VALUE!</v>
      </c>
      <c r="N65" s="13" t="e">
        <f>[1]!SaldoContableCuentaCadena($B65,N$17,$D$6,$D$7,$D$8)</f>
        <v>#VALUE!</v>
      </c>
      <c r="O65" s="13" t="e">
        <f>[1]!SaldoContableCuentaCadena($B65,O$17,$D$6,$D$7,$D$8)</f>
        <v>#VALUE!</v>
      </c>
      <c r="P65" s="24" t="e">
        <f t="shared" si="3"/>
        <v>#VALUE!</v>
      </c>
    </row>
    <row r="66" spans="1:16" ht="15" customHeight="1" x14ac:dyDescent="0.25">
      <c r="B66" s="22">
        <v>60178</v>
      </c>
      <c r="C66" s="31" t="s">
        <v>79</v>
      </c>
      <c r="D66" s="13" t="e">
        <f>[1]!SaldoContableCuentaCadena($B66,D$17,$D$6,$D$7,$D$8)</f>
        <v>#VALUE!</v>
      </c>
      <c r="E66" s="13" t="e">
        <f>[1]!SaldoContableCuentaCadena($B66,E$17,$D$6,$D$7,$D$8)</f>
        <v>#VALUE!</v>
      </c>
      <c r="F66" s="13" t="e">
        <f>[1]!SaldoContableCuentaCadena($B66,F$17,$D$6,$D$7,$D$8)</f>
        <v>#VALUE!</v>
      </c>
      <c r="G66" s="13" t="e">
        <f>[1]!SaldoContableCuentaCadena($B66,G$17,$D$6,$D$7,$D$8)</f>
        <v>#VALUE!</v>
      </c>
      <c r="H66" s="13" t="e">
        <f>[1]!SaldoContableCuentaCadena($B66,H$17,$D$6,$D$7,$D$8)</f>
        <v>#VALUE!</v>
      </c>
      <c r="I66" s="13" t="e">
        <f>[1]!SaldoContableCuentaCadena($B66,I$17,$D$6,$D$7,$D$8)</f>
        <v>#VALUE!</v>
      </c>
      <c r="J66" s="13" t="e">
        <f>[1]!SaldoContableCuentaCadena($B66,J$17,$D$6,$D$7,$D$8)</f>
        <v>#VALUE!</v>
      </c>
      <c r="K66" s="13" t="e">
        <f>[1]!SaldoContableCuentaCadena($B66,K$17,$D$6,$D$7,$D$8)</f>
        <v>#VALUE!</v>
      </c>
      <c r="L66" s="13" t="e">
        <f>[1]!SaldoContableCuentaCadena($B66,L$17,$D$6,$D$7,$D$8)</f>
        <v>#VALUE!</v>
      </c>
      <c r="M66" s="13" t="e">
        <f>[1]!SaldoContableCuentaCadena($B66,M$17,$D$6,$D$7,$D$8)</f>
        <v>#VALUE!</v>
      </c>
      <c r="N66" s="13" t="e">
        <f>[1]!SaldoContableCuentaCadena($B66,N$17,$D$6,$D$7,$D$8)</f>
        <v>#VALUE!</v>
      </c>
      <c r="O66" s="13" t="e">
        <f>[1]!SaldoContableCuentaCadena($B66,O$17,$D$6,$D$7,$D$8)</f>
        <v>#VALUE!</v>
      </c>
      <c r="P66" s="24" t="e">
        <f t="shared" si="3"/>
        <v>#VALUE!</v>
      </c>
    </row>
    <row r="67" spans="1:16" ht="15" customHeight="1" x14ac:dyDescent="0.25">
      <c r="B67" s="22">
        <v>60179</v>
      </c>
      <c r="C67" s="31" t="s">
        <v>80</v>
      </c>
      <c r="D67" s="13" t="e">
        <f>[1]!SaldoContableCuentaCadena($B67,D$17,$D$6,$D$7,$D$8)</f>
        <v>#VALUE!</v>
      </c>
      <c r="E67" s="13" t="e">
        <f>[1]!SaldoContableCuentaCadena($B67,E$17,$D$6,$D$7,$D$8)</f>
        <v>#VALUE!</v>
      </c>
      <c r="F67" s="13" t="e">
        <f>[1]!SaldoContableCuentaCadena($B67,F$17,$D$6,$D$7,$D$8)</f>
        <v>#VALUE!</v>
      </c>
      <c r="G67" s="13" t="e">
        <f>[1]!SaldoContableCuentaCadena($B67,G$17,$D$6,$D$7,$D$8)</f>
        <v>#VALUE!</v>
      </c>
      <c r="H67" s="13" t="e">
        <f>[1]!SaldoContableCuentaCadena($B67,H$17,$D$6,$D$7,$D$8)</f>
        <v>#VALUE!</v>
      </c>
      <c r="I67" s="13" t="e">
        <f>[1]!SaldoContableCuentaCadena($B67,I$17,$D$6,$D$7,$D$8)</f>
        <v>#VALUE!</v>
      </c>
      <c r="J67" s="13" t="e">
        <f>[1]!SaldoContableCuentaCadena($B67,J$17,$D$6,$D$7,$D$8)</f>
        <v>#VALUE!</v>
      </c>
      <c r="K67" s="13" t="e">
        <f>[1]!SaldoContableCuentaCadena($B67,K$17,$D$6,$D$7,$D$8)</f>
        <v>#VALUE!</v>
      </c>
      <c r="L67" s="13" t="e">
        <f>[1]!SaldoContableCuentaCadena($B67,L$17,$D$6,$D$7,$D$8)</f>
        <v>#VALUE!</v>
      </c>
      <c r="M67" s="13" t="e">
        <f>[1]!SaldoContableCuentaCadena($B67,M$17,$D$6,$D$7,$D$8)</f>
        <v>#VALUE!</v>
      </c>
      <c r="N67" s="13" t="e">
        <f>[1]!SaldoContableCuentaCadena($B67,N$17,$D$6,$D$7,$D$8)</f>
        <v>#VALUE!</v>
      </c>
      <c r="O67" s="13" t="e">
        <f>[1]!SaldoContableCuentaCadena($B67,O$17,$D$6,$D$7,$D$8)</f>
        <v>#VALUE!</v>
      </c>
      <c r="P67" s="24" t="e">
        <f t="shared" si="3"/>
        <v>#VALUE!</v>
      </c>
    </row>
    <row r="68" spans="1:16" ht="15" customHeight="1" x14ac:dyDescent="0.25">
      <c r="B68" s="22">
        <v>60180</v>
      </c>
      <c r="C68" s="31" t="s">
        <v>81</v>
      </c>
      <c r="D68" s="13" t="e">
        <f>[1]!SaldoContableCuentaCadena($B68,D$17,$D$6,$D$7,$D$8)</f>
        <v>#VALUE!</v>
      </c>
      <c r="E68" s="13" t="e">
        <f>[1]!SaldoContableCuentaCadena($B68,E$17,$D$6,$D$7,$D$8)</f>
        <v>#VALUE!</v>
      </c>
      <c r="F68" s="13" t="e">
        <f>[1]!SaldoContableCuentaCadena($B68,F$17,$D$6,$D$7,$D$8)</f>
        <v>#VALUE!</v>
      </c>
      <c r="G68" s="13" t="e">
        <f>[1]!SaldoContableCuentaCadena($B68,G$17,$D$6,$D$7,$D$8)</f>
        <v>#VALUE!</v>
      </c>
      <c r="H68" s="13" t="e">
        <f>[1]!SaldoContableCuentaCadena($B68,H$17,$D$6,$D$7,$D$8)</f>
        <v>#VALUE!</v>
      </c>
      <c r="I68" s="13" t="e">
        <f>[1]!SaldoContableCuentaCadena($B68,I$17,$D$6,$D$7,$D$8)</f>
        <v>#VALUE!</v>
      </c>
      <c r="J68" s="13" t="e">
        <f>[1]!SaldoContableCuentaCadena($B68,J$17,$D$6,$D$7,$D$8)</f>
        <v>#VALUE!</v>
      </c>
      <c r="K68" s="13" t="e">
        <f>[1]!SaldoContableCuentaCadena($B68,K$17,$D$6,$D$7,$D$8)</f>
        <v>#VALUE!</v>
      </c>
      <c r="L68" s="13" t="e">
        <f>[1]!SaldoContableCuentaCadena($B68,L$17,$D$6,$D$7,$D$8)</f>
        <v>#VALUE!</v>
      </c>
      <c r="M68" s="13" t="e">
        <f>[1]!SaldoContableCuentaCadena($B68,M$17,$D$6,$D$7,$D$8)</f>
        <v>#VALUE!</v>
      </c>
      <c r="N68" s="13" t="e">
        <f>[1]!SaldoContableCuentaCadena($B68,N$17,$D$6,$D$7,$D$8)</f>
        <v>#VALUE!</v>
      </c>
      <c r="O68" s="13" t="e">
        <f>[1]!SaldoContableCuentaCadena($B68,O$17,$D$6,$D$7,$D$8)</f>
        <v>#VALUE!</v>
      </c>
      <c r="P68" s="24" t="e">
        <f t="shared" si="3"/>
        <v>#VALUE!</v>
      </c>
    </row>
    <row r="69" spans="1:16" ht="15" customHeight="1" x14ac:dyDescent="0.25">
      <c r="B69" s="22">
        <v>60181</v>
      </c>
      <c r="C69" s="31" t="s">
        <v>82</v>
      </c>
      <c r="D69" s="13" t="e">
        <f>[1]!SaldoContableCuentaCadena($B69,D$17,$D$6,$D$7,$D$8)</f>
        <v>#VALUE!</v>
      </c>
      <c r="E69" s="13" t="e">
        <f>[1]!SaldoContableCuentaCadena($B69,E$17,$D$6,$D$7,$D$8)</f>
        <v>#VALUE!</v>
      </c>
      <c r="F69" s="13" t="e">
        <f>[1]!SaldoContableCuentaCadena($B69,F$17,$D$6,$D$7,$D$8)</f>
        <v>#VALUE!</v>
      </c>
      <c r="G69" s="13" t="e">
        <f>[1]!SaldoContableCuentaCadena($B69,G$17,$D$6,$D$7,$D$8)</f>
        <v>#VALUE!</v>
      </c>
      <c r="H69" s="13" t="e">
        <f>[1]!SaldoContableCuentaCadena($B69,H$17,$D$6,$D$7,$D$8)</f>
        <v>#VALUE!</v>
      </c>
      <c r="I69" s="13" t="e">
        <f>[1]!SaldoContableCuentaCadena($B69,I$17,$D$6,$D$7,$D$8)</f>
        <v>#VALUE!</v>
      </c>
      <c r="J69" s="13" t="e">
        <f>[1]!SaldoContableCuentaCadena($B69,J$17,$D$6,$D$7,$D$8)</f>
        <v>#VALUE!</v>
      </c>
      <c r="K69" s="13" t="e">
        <f>[1]!SaldoContableCuentaCadena($B69,K$17,$D$6,$D$7,$D$8)</f>
        <v>#VALUE!</v>
      </c>
      <c r="L69" s="13" t="e">
        <f>[1]!SaldoContableCuentaCadena($B69,L$17,$D$6,$D$7,$D$8)</f>
        <v>#VALUE!</v>
      </c>
      <c r="M69" s="13" t="e">
        <f>[1]!SaldoContableCuentaCadena($B69,M$17,$D$6,$D$7,$D$8)</f>
        <v>#VALUE!</v>
      </c>
      <c r="N69" s="13" t="e">
        <f>[1]!SaldoContableCuentaCadena($B69,N$17,$D$6,$D$7,$D$8)</f>
        <v>#VALUE!</v>
      </c>
      <c r="O69" s="13" t="e">
        <f>[1]!SaldoContableCuentaCadena($B69,O$17,$D$6,$D$7,$D$8)</f>
        <v>#VALUE!</v>
      </c>
      <c r="P69" s="24" t="e">
        <f t="shared" si="3"/>
        <v>#VALUE!</v>
      </c>
    </row>
    <row r="70" spans="1:16" ht="15" customHeight="1" x14ac:dyDescent="0.25">
      <c r="B70" s="22">
        <v>60184</v>
      </c>
      <c r="C70" s="31" t="s">
        <v>83</v>
      </c>
      <c r="D70" s="13" t="e">
        <f>[1]!SaldoContableCuentaCadena($B70,D$17,$D$6,$D$7,$D$8)</f>
        <v>#VALUE!</v>
      </c>
      <c r="E70" s="13" t="e">
        <f>[1]!SaldoContableCuentaCadena($B70,E$17,$D$6,$D$7,$D$8)</f>
        <v>#VALUE!</v>
      </c>
      <c r="F70" s="13" t="e">
        <f>[1]!SaldoContableCuentaCadena($B70,F$17,$D$6,$D$7,$D$8)</f>
        <v>#VALUE!</v>
      </c>
      <c r="G70" s="13" t="e">
        <f>[1]!SaldoContableCuentaCadena($B70,G$17,$D$6,$D$7,$D$8)</f>
        <v>#VALUE!</v>
      </c>
      <c r="H70" s="13" t="e">
        <f>[1]!SaldoContableCuentaCadena($B70,H$17,$D$6,$D$7,$D$8)</f>
        <v>#VALUE!</v>
      </c>
      <c r="I70" s="13" t="e">
        <f>[1]!SaldoContableCuentaCadena($B70,I$17,$D$6,$D$7,$D$8)</f>
        <v>#VALUE!</v>
      </c>
      <c r="J70" s="13" t="e">
        <f>[1]!SaldoContableCuentaCadena($B70,J$17,$D$6,$D$7,$D$8)</f>
        <v>#VALUE!</v>
      </c>
      <c r="K70" s="13" t="e">
        <f>[1]!SaldoContableCuentaCadena($B70,K$17,$D$6,$D$7,$D$8)</f>
        <v>#VALUE!</v>
      </c>
      <c r="L70" s="13" t="e">
        <f>[1]!SaldoContableCuentaCadena($B70,L$17,$D$6,$D$7,$D$8)</f>
        <v>#VALUE!</v>
      </c>
      <c r="M70" s="13" t="e">
        <f>[1]!SaldoContableCuentaCadena($B70,M$17,$D$6,$D$7,$D$8)</f>
        <v>#VALUE!</v>
      </c>
      <c r="N70" s="13" t="e">
        <f>[1]!SaldoContableCuentaCadena($B70,N$17,$D$6,$D$7,$D$8)</f>
        <v>#VALUE!</v>
      </c>
      <c r="O70" s="13" t="e">
        <f>[1]!SaldoContableCuentaCadena($B70,O$17,$D$6,$D$7,$D$8)</f>
        <v>#VALUE!</v>
      </c>
      <c r="P70" s="24" t="e">
        <f t="shared" si="3"/>
        <v>#VALUE!</v>
      </c>
    </row>
    <row r="71" spans="1:16" ht="15" customHeight="1" x14ac:dyDescent="0.25">
      <c r="B71" s="22"/>
      <c r="C71" s="31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24"/>
    </row>
    <row r="72" spans="1:16" ht="14.1" customHeight="1" x14ac:dyDescent="0.25">
      <c r="C72" s="26" t="s">
        <v>84</v>
      </c>
      <c r="D72" s="34" t="e">
        <f>D31</f>
        <v>#VALUE!</v>
      </c>
      <c r="E72" s="34" t="e">
        <f t="shared" ref="E72:O72" si="4">+D72+E31</f>
        <v>#VALUE!</v>
      </c>
      <c r="F72" s="34" t="e">
        <f t="shared" si="4"/>
        <v>#VALUE!</v>
      </c>
      <c r="G72" s="34" t="e">
        <f t="shared" si="4"/>
        <v>#VALUE!</v>
      </c>
      <c r="H72" s="35" t="e">
        <f t="shared" si="4"/>
        <v>#VALUE!</v>
      </c>
      <c r="I72" s="34" t="e">
        <f t="shared" si="4"/>
        <v>#VALUE!</v>
      </c>
      <c r="J72" s="34" t="e">
        <f t="shared" si="4"/>
        <v>#VALUE!</v>
      </c>
      <c r="K72" s="34" t="e">
        <f t="shared" si="4"/>
        <v>#VALUE!</v>
      </c>
      <c r="L72" s="34" t="e">
        <f t="shared" si="4"/>
        <v>#VALUE!</v>
      </c>
      <c r="M72" s="34" t="e">
        <f t="shared" si="4"/>
        <v>#VALUE!</v>
      </c>
      <c r="N72" s="34" t="e">
        <f t="shared" si="4"/>
        <v>#VALUE!</v>
      </c>
      <c r="O72" s="34" t="e">
        <f t="shared" si="4"/>
        <v>#VALUE!</v>
      </c>
      <c r="P72" s="36" t="e">
        <f>SUM(P32:P71)</f>
        <v>#VALUE!</v>
      </c>
    </row>
    <row r="73" spans="1:16" ht="14.1" customHeight="1" x14ac:dyDescent="0.25">
      <c r="C73" s="26"/>
      <c r="D73" s="33"/>
      <c r="E73" s="33"/>
      <c r="F73" s="33"/>
      <c r="G73" s="33"/>
      <c r="H73" s="37"/>
      <c r="I73" s="33"/>
      <c r="J73" s="33"/>
      <c r="K73" s="33"/>
      <c r="L73" s="33"/>
      <c r="M73" s="33"/>
      <c r="N73" s="33"/>
      <c r="O73" s="33"/>
      <c r="P73" s="24"/>
    </row>
    <row r="74" spans="1:16" ht="13.8" x14ac:dyDescent="0.25">
      <c r="A74" s="38" t="s">
        <v>85</v>
      </c>
      <c r="B74" s="38"/>
      <c r="C74" s="39" t="s">
        <v>86</v>
      </c>
      <c r="D74" s="33" t="e">
        <f t="shared" ref="D74:P74" si="5">+D28-D72</f>
        <v>#VALUE!</v>
      </c>
      <c r="E74" s="33" t="e">
        <f t="shared" si="5"/>
        <v>#VALUE!</v>
      </c>
      <c r="F74" s="33" t="e">
        <f t="shared" si="5"/>
        <v>#VALUE!</v>
      </c>
      <c r="G74" s="33" t="e">
        <f t="shared" si="5"/>
        <v>#VALUE!</v>
      </c>
      <c r="H74" s="33" t="e">
        <f t="shared" si="5"/>
        <v>#VALUE!</v>
      </c>
      <c r="I74" s="33" t="e">
        <f t="shared" si="5"/>
        <v>#VALUE!</v>
      </c>
      <c r="J74" s="33" t="e">
        <f t="shared" si="5"/>
        <v>#VALUE!</v>
      </c>
      <c r="K74" s="33" t="e">
        <f t="shared" si="5"/>
        <v>#VALUE!</v>
      </c>
      <c r="L74" s="33" t="e">
        <f t="shared" si="5"/>
        <v>#VALUE!</v>
      </c>
      <c r="M74" s="33" t="e">
        <f t="shared" si="5"/>
        <v>#VALUE!</v>
      </c>
      <c r="N74" s="33" t="e">
        <f t="shared" si="5"/>
        <v>#VALUE!</v>
      </c>
      <c r="O74" s="33" t="e">
        <f t="shared" si="5"/>
        <v>#VALUE!</v>
      </c>
      <c r="P74" s="24" t="e">
        <f t="shared" si="5"/>
        <v>#VALUE!</v>
      </c>
    </row>
    <row r="75" spans="1:16" ht="13.8" x14ac:dyDescent="0.25">
      <c r="B75" s="38"/>
      <c r="C75" s="39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24"/>
    </row>
    <row r="76" spans="1:16" x14ac:dyDescent="0.25">
      <c r="A76" s="15" t="s">
        <v>87</v>
      </c>
      <c r="C76" s="39" t="s">
        <v>88</v>
      </c>
      <c r="D76" s="13">
        <f>[1]!SaldoContableCuentaCadena($B76,D$17,$D$6,$D$7,$D$8)</f>
        <v>0</v>
      </c>
      <c r="E76" s="13">
        <f>[1]!SaldoContableCuentaCadena($B76,E$17,$D$6,$D$7,$D$8)</f>
        <v>0</v>
      </c>
      <c r="F76" s="13">
        <f>[1]!SaldoContableCuentaCadena($B76,F$17,$D$6,$D$7,$D$8)</f>
        <v>0</v>
      </c>
      <c r="G76" s="13">
        <f>[1]!SaldoContableCuentaCadena($B76,G$17,$D$6,$D$7,$D$8)</f>
        <v>0</v>
      </c>
      <c r="H76" s="13">
        <f>[1]!SaldoContableCuentaCadena($B76,H$17,$D$6,$D$7,$D$8)</f>
        <v>0</v>
      </c>
      <c r="I76" s="13">
        <f>[1]!SaldoContableCuentaCadena($B76,I$17,$D$6,$D$7,$D$8)</f>
        <v>0</v>
      </c>
      <c r="J76" s="13">
        <f>[1]!SaldoContableCuentaCadena($B76,J$17,$D$6,$D$7,$D$8)</f>
        <v>0</v>
      </c>
      <c r="K76" s="13">
        <f>[1]!SaldoContableCuentaCadena($B76,K$17,$D$6,$D$7,$D$8)</f>
        <v>0</v>
      </c>
      <c r="L76" s="13">
        <f>[1]!SaldoContableCuentaCadena($B76,L$17,$D$6,$D$7,$D$8)</f>
        <v>0</v>
      </c>
      <c r="M76" s="13">
        <f>[1]!SaldoContableCuentaCadena($B76,M$17,$D$6,$D$7,$D$8)</f>
        <v>0</v>
      </c>
      <c r="N76" s="13">
        <f>[1]!SaldoContableCuentaCadena($B76,N$17,$D$6,$D$7,$D$8)</f>
        <v>0</v>
      </c>
      <c r="O76" s="13">
        <f>[1]!SaldoContableCuentaCadena($B76,O$17,$D$6,$D$7,$D$8)</f>
        <v>0</v>
      </c>
      <c r="P76" s="24">
        <v>0</v>
      </c>
    </row>
    <row r="77" spans="1:16" x14ac:dyDescent="0.25">
      <c r="C77" s="39"/>
      <c r="D77" s="33"/>
      <c r="E77" s="33"/>
      <c r="F77" s="33"/>
      <c r="G77" s="33"/>
      <c r="H77" s="37"/>
      <c r="I77" s="33"/>
      <c r="J77" s="33"/>
      <c r="K77" s="33"/>
      <c r="L77" s="33"/>
      <c r="M77" s="33"/>
      <c r="N77" s="33"/>
      <c r="O77" s="33"/>
      <c r="P77" s="24"/>
    </row>
    <row r="78" spans="1:16" ht="13.8" x14ac:dyDescent="0.25">
      <c r="A78" s="38" t="s">
        <v>85</v>
      </c>
      <c r="B78" s="38"/>
      <c r="C78" s="39" t="s">
        <v>86</v>
      </c>
      <c r="D78" s="33" t="e">
        <f>+D74-D76</f>
        <v>#VALUE!</v>
      </c>
      <c r="E78" s="33" t="e">
        <f t="shared" ref="E78:O78" si="6">+E74-E76</f>
        <v>#VALUE!</v>
      </c>
      <c r="F78" s="33" t="e">
        <f t="shared" si="6"/>
        <v>#VALUE!</v>
      </c>
      <c r="G78" s="33" t="e">
        <f t="shared" si="6"/>
        <v>#VALUE!</v>
      </c>
      <c r="H78" s="33" t="e">
        <f t="shared" si="6"/>
        <v>#VALUE!</v>
      </c>
      <c r="I78" s="33" t="e">
        <f t="shared" si="6"/>
        <v>#VALUE!</v>
      </c>
      <c r="J78" s="33" t="e">
        <f t="shared" si="6"/>
        <v>#VALUE!</v>
      </c>
      <c r="K78" s="33" t="e">
        <f t="shared" si="6"/>
        <v>#VALUE!</v>
      </c>
      <c r="L78" s="33" t="e">
        <f t="shared" si="6"/>
        <v>#VALUE!</v>
      </c>
      <c r="M78" s="33" t="e">
        <f t="shared" si="6"/>
        <v>#VALUE!</v>
      </c>
      <c r="N78" s="33" t="e">
        <f t="shared" si="6"/>
        <v>#VALUE!</v>
      </c>
      <c r="O78" s="33" t="e">
        <f t="shared" si="6"/>
        <v>#VALUE!</v>
      </c>
      <c r="P78" s="24" t="e">
        <f>+P74-P76</f>
        <v>#VALUE!</v>
      </c>
    </row>
    <row r="79" spans="1:16" ht="12.9" customHeight="1" x14ac:dyDescent="0.25">
      <c r="B79" s="38"/>
      <c r="C79" s="40"/>
      <c r="D79" s="33"/>
      <c r="E79" s="33"/>
      <c r="F79" s="33"/>
      <c r="G79" s="33"/>
      <c r="H79" s="37"/>
      <c r="I79" s="33"/>
      <c r="J79" s="33"/>
      <c r="K79" s="33"/>
      <c r="L79" s="33"/>
      <c r="M79" s="33" t="s">
        <v>32</v>
      </c>
      <c r="N79" s="33" t="s">
        <v>32</v>
      </c>
      <c r="O79" s="33"/>
      <c r="P79" s="24"/>
    </row>
    <row r="80" spans="1:16" ht="13.8" x14ac:dyDescent="0.25">
      <c r="A80" s="38" t="s">
        <v>89</v>
      </c>
      <c r="B80" s="38"/>
      <c r="C80" s="31" t="s">
        <v>90</v>
      </c>
      <c r="D80" s="41">
        <v>0.3</v>
      </c>
      <c r="E80" s="41">
        <v>0.3</v>
      </c>
      <c r="F80" s="41">
        <v>0.3</v>
      </c>
      <c r="G80" s="41">
        <v>0.3</v>
      </c>
      <c r="H80" s="41">
        <v>0.3</v>
      </c>
      <c r="I80" s="41">
        <v>0.3</v>
      </c>
      <c r="J80" s="41">
        <v>0.3</v>
      </c>
      <c r="K80" s="41">
        <v>0.3</v>
      </c>
      <c r="L80" s="41">
        <v>0.3</v>
      </c>
      <c r="M80" s="41">
        <v>0.3</v>
      </c>
      <c r="N80" s="41">
        <v>0.3</v>
      </c>
      <c r="O80" s="41">
        <v>0.3</v>
      </c>
      <c r="P80" s="42">
        <v>0.3</v>
      </c>
    </row>
    <row r="81" spans="1:16" ht="12.9" customHeight="1" x14ac:dyDescent="0.25">
      <c r="B81" s="38"/>
      <c r="C81" s="40"/>
      <c r="H81" s="43"/>
    </row>
    <row r="82" spans="1:16" ht="13.8" x14ac:dyDescent="0.25">
      <c r="A82" s="38" t="s">
        <v>85</v>
      </c>
      <c r="B82" s="38"/>
      <c r="C82" s="44" t="s">
        <v>91</v>
      </c>
      <c r="D82" s="45" t="e">
        <f>+D78*D80+254</f>
        <v>#VALUE!</v>
      </c>
      <c r="E82" s="45" t="e">
        <f>+E78*E80</f>
        <v>#VALUE!</v>
      </c>
      <c r="F82" s="45" t="e">
        <f t="shared" ref="F82:O82" si="7">+F78*F80</f>
        <v>#VALUE!</v>
      </c>
      <c r="G82" s="45" t="e">
        <f t="shared" si="7"/>
        <v>#VALUE!</v>
      </c>
      <c r="H82" s="45" t="e">
        <f t="shared" si="7"/>
        <v>#VALUE!</v>
      </c>
      <c r="I82" s="45" t="e">
        <f t="shared" si="7"/>
        <v>#VALUE!</v>
      </c>
      <c r="J82" s="45" t="e">
        <f t="shared" si="7"/>
        <v>#VALUE!</v>
      </c>
      <c r="K82" s="45" t="e">
        <f t="shared" si="7"/>
        <v>#VALUE!</v>
      </c>
      <c r="L82" s="45" t="e">
        <f t="shared" si="7"/>
        <v>#VALUE!</v>
      </c>
      <c r="M82" s="45" t="e">
        <f t="shared" si="7"/>
        <v>#VALUE!</v>
      </c>
      <c r="N82" s="45" t="e">
        <f t="shared" si="7"/>
        <v>#VALUE!</v>
      </c>
      <c r="O82" s="45" t="e">
        <f t="shared" si="7"/>
        <v>#VALUE!</v>
      </c>
      <c r="P82" s="46" t="e">
        <f>+P78*P80</f>
        <v>#VALUE!</v>
      </c>
    </row>
    <row r="83" spans="1:16" ht="13.8" x14ac:dyDescent="0.25">
      <c r="B83" s="38"/>
      <c r="C83" s="47"/>
      <c r="D83" s="33"/>
      <c r="E83" s="33"/>
      <c r="F83" s="33"/>
      <c r="G83" s="33"/>
      <c r="H83" s="37"/>
      <c r="I83" s="33"/>
      <c r="J83" s="33"/>
      <c r="K83" s="33"/>
      <c r="L83" s="33"/>
      <c r="M83" s="33"/>
      <c r="N83" s="33" t="s">
        <v>32</v>
      </c>
      <c r="O83" s="33"/>
      <c r="P83" s="24"/>
    </row>
    <row r="85" spans="1:16" x14ac:dyDescent="0.25">
      <c r="B85" s="14"/>
      <c r="H85" s="14"/>
      <c r="P85" s="14"/>
    </row>
    <row r="86" spans="1:16" x14ac:dyDescent="0.25">
      <c r="B86" s="14"/>
      <c r="H86" s="14"/>
      <c r="P86" s="14"/>
    </row>
    <row r="87" spans="1:16" x14ac:dyDescent="0.25">
      <c r="B87" s="14"/>
      <c r="H87" s="14"/>
      <c r="P87" s="14"/>
    </row>
    <row r="88" spans="1:16" x14ac:dyDescent="0.25">
      <c r="B88" s="14"/>
      <c r="H88" s="14"/>
      <c r="P88" s="14"/>
    </row>
    <row r="89" spans="1:16" x14ac:dyDescent="0.25">
      <c r="B89" s="14"/>
      <c r="H89" s="14"/>
      <c r="P89" s="14"/>
    </row>
  </sheetData>
  <mergeCells count="12">
    <mergeCell ref="B15:P15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B14:P14"/>
  </mergeCells>
  <printOptions horizontalCentered="1"/>
  <pageMargins left="0.19685039370078741" right="0.19685039370078741" top="0.39370078740157483" bottom="0.39370078740157483" header="0.31496062992125984" footer="0.31496062992125984"/>
  <pageSetup scale="4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ISR-Fisica</vt:lpstr>
      <vt:lpstr>'ISR-Fisica'!Área_de_impresión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Arboleda</dc:creator>
  <cp:lastModifiedBy>Hernan Arboleda Vergara</cp:lastModifiedBy>
  <dcterms:created xsi:type="dcterms:W3CDTF">2026-04-30T20:11:26Z</dcterms:created>
  <dcterms:modified xsi:type="dcterms:W3CDTF">2026-05-05T04:15:33Z</dcterms:modified>
</cp:coreProperties>
</file>