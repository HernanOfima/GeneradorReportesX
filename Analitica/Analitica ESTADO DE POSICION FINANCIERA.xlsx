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System\GeneradorReportesX\Analitica\"/>
    </mc:Choice>
  </mc:AlternateContent>
  <xr:revisionPtr revIDLastSave="0" documentId="13_ncr:1_{F0B4F692-A3EF-41DE-A202-2CE68848B757}" xr6:coauthVersionLast="47" xr6:coauthVersionMax="47" xr10:uidLastSave="{00000000-0000-0000-0000-000000000000}"/>
  <bookViews>
    <workbookView xWindow="-108" yWindow="-108" windowWidth="23256" windowHeight="12456" xr2:uid="{EFA2469E-CB0E-40B3-99F1-D5D27FB4C933}"/>
  </bookViews>
  <sheets>
    <sheet name="ISR Balance" sheetId="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4" l="1"/>
  <c r="B13" i="4"/>
  <c r="I24" i="4"/>
  <c r="I65" i="4"/>
  <c r="I63" i="4"/>
  <c r="I29" i="4"/>
  <c r="I59" i="4"/>
  <c r="I30" i="4"/>
  <c r="I19" i="4"/>
  <c r="I36" i="4"/>
  <c r="I60" i="4"/>
  <c r="I61" i="4"/>
  <c r="I34" i="4"/>
  <c r="I68" i="4"/>
  <c r="I39" i="4"/>
  <c r="I49" i="4"/>
  <c r="I33" i="4"/>
  <c r="I46" i="4"/>
  <c r="I62" i="4"/>
  <c r="I54" i="4"/>
  <c r="I64" i="4"/>
  <c r="I53" i="4"/>
  <c r="I16" i="4"/>
  <c r="I55" i="4"/>
  <c r="I38" i="4"/>
  <c r="I21" i="4"/>
  <c r="I26" i="4"/>
  <c r="I58" i="4"/>
  <c r="I40" i="4"/>
  <c r="I18" i="4"/>
  <c r="I69" i="4"/>
  <c r="I52" i="4"/>
  <c r="I20" i="4"/>
  <c r="I48" i="4"/>
  <c r="I23" i="4"/>
  <c r="B12" i="4"/>
  <c r="I67" i="4"/>
  <c r="I17" i="4"/>
  <c r="I37" i="4"/>
  <c r="I35" i="4"/>
  <c r="I66" i="4"/>
  <c r="I51" i="4"/>
  <c r="I32" i="4"/>
  <c r="I42" i="4"/>
  <c r="I41" i="4"/>
  <c r="I45" i="4"/>
  <c r="I28" i="4"/>
  <c r="I27" i="4"/>
  <c r="I22" i="4" l="1"/>
  <c r="I25" i="4"/>
  <c r="I31" i="4"/>
  <c r="I70" i="4"/>
  <c r="I50" i="4"/>
  <c r="I47" i="4"/>
  <c r="I43" i="4" l="1"/>
  <c r="I56" i="4"/>
  <c r="I71" i="4" s="1"/>
</calcChain>
</file>

<file path=xl/sharedStrings.xml><?xml version="1.0" encoding="utf-8"?>
<sst xmlns="http://schemas.openxmlformats.org/spreadsheetml/2006/main" count="71" uniqueCount="70">
  <si>
    <t>INICIO-PARAMETROS</t>
  </si>
  <si>
    <t>Reporte</t>
  </si>
  <si>
    <t>Plantilla_Base</t>
  </si>
  <si>
    <t>NIVEL</t>
  </si>
  <si>
    <t>PERIODO</t>
  </si>
  <si>
    <t>ACUMULADO</t>
  </si>
  <si>
    <t>EMPRESA</t>
  </si>
  <si>
    <t>TODOTERRENOMX2016</t>
  </si>
  <si>
    <t>AÑO</t>
  </si>
  <si>
    <t>FIN-PARAMETROS</t>
  </si>
  <si>
    <t xml:space="preserve">ESTADO DE POSICION FINANCIERA     </t>
  </si>
  <si>
    <t>Anexo_Balance_General.xls</t>
  </si>
  <si>
    <t>A</t>
  </si>
  <si>
    <t>DEPURAR</t>
  </si>
  <si>
    <t>ACTIVO</t>
  </si>
  <si>
    <t>EFECTIVO EN CAJA Y DEPÓSITOS EN INSTITUCIONES DE CREDITO NACIONAL</t>
  </si>
  <si>
    <t>EFECTIVO EN CAJA Y DEPÓSITOS EN INSTITUCIONES DE CREDITO EXTRANJERO</t>
  </si>
  <si>
    <t>INVERSIONES EN VALORES CON INSTITUCIONES NACIONALES (EXCEPTO ACCIONES)</t>
  </si>
  <si>
    <t>INVERSIONES EN VALORES CON INSTITUCIONES EXTRANJERAS (EXCEPTO ACCIONES)</t>
  </si>
  <si>
    <t>CUENTAS Y DOCUMENTOS POR COBRAR NACIONALES (PARTES RELACIONADAS)</t>
  </si>
  <si>
    <t>CUENTAS Y DOCUMENTOS POR COBRAR NACIONALES (PARTES NO RELACIONADAS)</t>
  </si>
  <si>
    <t>TOTAL CUENTAS Y DOCUMENTOS POR COBRAR NACIONALES</t>
  </si>
  <si>
    <t>CUENTAS Y DOCUMENTOS POR COBRAR EXTRANJERO (PARTES RELACIONADAS)</t>
  </si>
  <si>
    <t>CUENTAS Y DOCUMENTOS POR COBRAR EXTRANJERO(PARTES NO RELACIONADAS)</t>
  </si>
  <si>
    <t>TOTAL CUENTAS Y DOCUMENTOS POR COBRAR EXTRANJERO</t>
  </si>
  <si>
    <t>CONTRIBUCIONES A FAVOR</t>
  </si>
  <si>
    <t>INVENTARIOS</t>
  </si>
  <si>
    <t>OTROS ACTIVOS CIRCULANTES</t>
  </si>
  <si>
    <t>INVERSIONES EN ACCIONES NACIONALES</t>
  </si>
  <si>
    <t>INVERSIONES EN ACCIONES EXTRANJERO</t>
  </si>
  <si>
    <t>TOTAL CUENTAS EN ACCIONES</t>
  </si>
  <si>
    <t>TERRENOS</t>
  </si>
  <si>
    <t>CONSTRUCCIONES</t>
  </si>
  <si>
    <t>CONSTRUCCIONES EN PROCESO</t>
  </si>
  <si>
    <t>MAQUINARIA Y EQUIPO</t>
  </si>
  <si>
    <t>MOBILIARIO Y EQUIPO DE OFICINA</t>
  </si>
  <si>
    <t>EQUIPO DE COMPUTO</t>
  </si>
  <si>
    <t>EQUIPO DE TRANSPORTE</t>
  </si>
  <si>
    <t>OTROS ACTIVOS FIJOS</t>
  </si>
  <si>
    <t>DEPRECIACION ACUMULADA</t>
  </si>
  <si>
    <t>CARGOS Y GASTOS DIFERIDOS</t>
  </si>
  <si>
    <t>AMORTIZACIÓN ACUMULADA</t>
  </si>
  <si>
    <t>TOTAL ACTIVO</t>
  </si>
  <si>
    <t>PASIVO</t>
  </si>
  <si>
    <t>CUENTAS Y DOCUMENTOS POR PAGAR NACIONALES (PARTES RELACIONADAS)</t>
  </si>
  <si>
    <t>CUENTAS Y DOCUMENTOS POR PAGAR NACIONALES (PARTES NO RELACIONADAS)</t>
  </si>
  <si>
    <t>TOTAL CUENTAS Y DOCUMENTOS POR PAGAR NACIONALES</t>
  </si>
  <si>
    <t>CUENTAS Y DOCUMENTOS POR PAGAR DEL EXTRANJERO (PARTES RELACIONADAS)</t>
  </si>
  <si>
    <t>CUENTAS Y DOCUMENTOS POR PAGAR DEL EXTRANJERO (PARTES NO RELACIONADAS)</t>
  </si>
  <si>
    <t xml:space="preserve">TOTAL CUENTAS Y DOCUMENTOS POR PAGAR DEL EXTRANJERO </t>
  </si>
  <si>
    <t>CONTRIBUCIONES POR PAGAR</t>
  </si>
  <si>
    <t>ANTICIPOS DE CLIENTES PARTES RELACIONADAS</t>
  </si>
  <si>
    <t>ANTICIPOS DE CLIENTES PARTES NO RELACIONADAS</t>
  </si>
  <si>
    <t>APORTACIONES PARA FUTUROS AUMENTOS DE CAPITAL</t>
  </si>
  <si>
    <t>OTROS PASIVOS</t>
  </si>
  <si>
    <t>TOTAL PASIVO</t>
  </si>
  <si>
    <t>CAPITAL CONTABLE</t>
  </si>
  <si>
    <t>CAPITAL SOCIAL PROVENIENTE DE APORTACIONES</t>
  </si>
  <si>
    <t>CAPITAL SOCIAL PROVENIENTE DE CAPITALIZACIÓN</t>
  </si>
  <si>
    <t>RESERVAS</t>
  </si>
  <si>
    <t>OTRAS CUENTAS DE CAPITAL</t>
  </si>
  <si>
    <t>UTILIDADES ACUMULADAS</t>
  </si>
  <si>
    <t>UTILIDAD DEL EJERCICIO</t>
  </si>
  <si>
    <t>PÉRDIDAS ACUMULADAS</t>
  </si>
  <si>
    <t>PÉRDIDA DEL EJERCICIO</t>
  </si>
  <si>
    <t>EXCESO EN LA ACTUALIZACIÓN DEL CAPITAL</t>
  </si>
  <si>
    <t>INSUFICIENCIA EN LA ACTUALIZACIÓN DEL CAPITAL</t>
  </si>
  <si>
    <t>ACTUALIZACIÓN DEL CAPITAL CONTABLE</t>
  </si>
  <si>
    <t>TOTAL CAPITAL CONTABLE</t>
  </si>
  <si>
    <t>PASIVO MAS CAPITAL CONTABLE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</si>
</sst>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[$-F800]dddd\,\ mmmm\ dd\,\ yyyy"/>
    <numFmt numFmtId="166" formatCode="#,##0.00_ ;\-#,##0.00\ "/>
    <numFmt numFmtId="167" formatCode="_-* #,##0.00\ _€_-;\-* #,##0.00\ _€_-;_-* &quot;-&quot;??\ _€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Verdana"/>
      <family val="2"/>
    </font>
    <font>
      <b/>
      <sz val="13"/>
      <color theme="0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7" fillId="0" borderId="0"/>
    <xf numFmtId="0" fontId="1" fillId="0" borderId="0"/>
  </cellStyleXfs>
  <cellXfs count="43">
    <xf numFmtId="0" fontId="0" fillId="0" borderId="0" xfId="0"/>
    <xf numFmtId="0" fontId="2" fillId="2" borderId="0" xfId="2" applyFill="1"/>
    <xf numFmtId="0" fontId="3" fillId="2" borderId="0" xfId="2" applyFont="1" applyFill="1"/>
    <xf numFmtId="4" fontId="2" fillId="2" borderId="0" xfId="2" applyNumberFormat="1" applyFill="1"/>
    <xf numFmtId="0" fontId="4" fillId="2" borderId="0" xfId="2" applyFont="1" applyFill="1" applyAlignment="1">
      <alignment horizontal="right" indent="1"/>
    </xf>
    <xf numFmtId="4" fontId="4" fillId="2" borderId="0" xfId="2" applyNumberFormat="1" applyFont="1" applyFill="1" applyAlignment="1">
      <alignment horizontal="right" indent="1"/>
    </xf>
    <xf numFmtId="0" fontId="0" fillId="4" borderId="0" xfId="0" applyFill="1"/>
    <xf numFmtId="0" fontId="2" fillId="0" borderId="1" xfId="2" applyBorder="1"/>
    <xf numFmtId="0" fontId="2" fillId="4" borderId="0" xfId="2" applyFill="1"/>
    <xf numFmtId="0" fontId="3" fillId="4" borderId="0" xfId="2" applyFont="1" applyFill="1"/>
    <xf numFmtId="0" fontId="5" fillId="5" borderId="2" xfId="0" applyFont="1" applyFill="1" applyBorder="1"/>
    <xf numFmtId="0" fontId="5" fillId="5" borderId="0" xfId="0" applyFont="1" applyFill="1"/>
    <xf numFmtId="0" fontId="5" fillId="5" borderId="3" xfId="0" applyFont="1" applyFill="1" applyBorder="1"/>
    <xf numFmtId="166" fontId="2" fillId="0" borderId="6" xfId="1" applyNumberFormat="1" applyFont="1" applyFill="1" applyBorder="1" applyAlignment="1">
      <alignment horizontal="right"/>
    </xf>
    <xf numFmtId="166" fontId="6" fillId="3" borderId="14" xfId="1" applyNumberFormat="1" applyFont="1" applyFill="1" applyBorder="1" applyAlignment="1">
      <alignment horizontal="right"/>
    </xf>
    <xf numFmtId="0" fontId="5" fillId="5" borderId="16" xfId="0" applyFont="1" applyFill="1" applyBorder="1"/>
    <xf numFmtId="0" fontId="5" fillId="5" borderId="17" xfId="0" applyFont="1" applyFill="1" applyBorder="1"/>
    <xf numFmtId="4" fontId="5" fillId="5" borderId="16" xfId="0" applyNumberFormat="1" applyFont="1" applyFill="1" applyBorder="1" applyAlignment="1">
      <alignment horizontal="right"/>
    </xf>
    <xf numFmtId="0" fontId="5" fillId="5" borderId="18" xfId="0" applyFont="1" applyFill="1" applyBorder="1"/>
    <xf numFmtId="0" fontId="5" fillId="5" borderId="11" xfId="0" applyFont="1" applyFill="1" applyBorder="1"/>
    <xf numFmtId="0" fontId="5" fillId="5" borderId="12" xfId="0" applyFont="1" applyFill="1" applyBorder="1"/>
    <xf numFmtId="0" fontId="5" fillId="5" borderId="23" xfId="0" applyFont="1" applyFill="1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6" fillId="6" borderId="12" xfId="0" applyFont="1" applyFill="1" applyBorder="1" applyAlignment="1">
      <alignment horizontal="left"/>
    </xf>
    <xf numFmtId="0" fontId="6" fillId="6" borderId="13" xfId="0" applyFont="1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5" xfId="0" applyFont="1" applyBorder="1"/>
    <xf numFmtId="0" fontId="2" fillId="0" borderId="1" xfId="0" applyFont="1" applyBorder="1"/>
    <xf numFmtId="0" fontId="3" fillId="3" borderId="0" xfId="2" applyFont="1" applyFill="1" applyAlignment="1">
      <alignment horizontal="center" vertical="top" wrapText="1"/>
    </xf>
    <xf numFmtId="165" fontId="2" fillId="4" borderId="0" xfId="0" applyNumberFormat="1" applyFont="1" applyFill="1" applyAlignment="1">
      <alignment horizontal="right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</cellXfs>
  <cellStyles count="8">
    <cellStyle name="Millares" xfId="1" builtinId="3"/>
    <cellStyle name="Millares 2" xfId="4" xr:uid="{2DE53044-7D97-47D7-AE34-334F8294204A}"/>
    <cellStyle name="Millares 3" xfId="5" xr:uid="{BBFC3AF0-5340-4F4D-8EC1-2D4FF55F170A}"/>
    <cellStyle name="Normal" xfId="0" builtinId="0"/>
    <cellStyle name="Normal 2" xfId="2" xr:uid="{2D5FF173-2B62-4AC3-B266-D8EDC0B40581}"/>
    <cellStyle name="Normal 2 2" xfId="3" xr:uid="{23A7519C-7C54-4F83-B5BE-8BECDE8A9B6B}"/>
    <cellStyle name="Normal 2 3" xfId="7" xr:uid="{4129DBD1-8516-495D-8D0A-AF0933D618B7}"/>
    <cellStyle name="Normal 3" xfId="6" xr:uid="{FBF7CFCF-EC72-42CD-943F-2B08ECB0C1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OFIMATICA\OFIMAENTERPRISE\ATLASCS\ComplementoXLAOfima\ofima.xla" TargetMode="External"/><Relationship Id="rId1" Type="http://schemas.openxmlformats.org/officeDocument/2006/relationships/externalLinkPath" Target="/OFIMATICA/OFIMAENTERPRISE/ATLASCS/ComplementoXLAOfima/ofima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Global"/>
      <sheetName val="LOG_CARGA_MVTOAUX"/>
    </sheetNames>
    <definedNames>
      <definedName name="nomcia"/>
      <definedName name="SaldoContableCuentaCadena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9D20-34F5-4272-865A-F79E51A2DC1E}">
  <dimension ref="A1:AY192"/>
  <sheetViews>
    <sheetView tabSelected="1" zoomScaleNormal="100" workbookViewId="0">
      <selection activeCell="B44" sqref="B44"/>
    </sheetView>
  </sheetViews>
  <sheetFormatPr baseColWidth="10" defaultRowHeight="14.4" x14ac:dyDescent="0.3"/>
  <cols>
    <col min="1" max="1" width="11.44140625" style="6" customWidth="1"/>
    <col min="3" max="3" width="21.44140625" customWidth="1"/>
    <col min="4" max="4" width="39.44140625" customWidth="1"/>
    <col min="5" max="5" width="20.77734375" customWidth="1"/>
    <col min="6" max="6" width="6" customWidth="1"/>
    <col min="7" max="7" width="7.109375" customWidth="1"/>
    <col min="8" max="8" width="3.109375" customWidth="1"/>
    <col min="9" max="9" width="24.21875" customWidth="1"/>
    <col min="10" max="51" width="11.44140625" style="6" customWidth="1"/>
    <col min="257" max="257" width="11.44140625" customWidth="1"/>
    <col min="259" max="259" width="21.44140625" customWidth="1"/>
    <col min="260" max="260" width="39.44140625" customWidth="1"/>
    <col min="261" max="261" width="20.77734375" customWidth="1"/>
    <col min="262" max="262" width="6" customWidth="1"/>
    <col min="263" max="263" width="7.109375" customWidth="1"/>
    <col min="264" max="264" width="3.109375" customWidth="1"/>
    <col min="265" max="265" width="24.21875" customWidth="1"/>
    <col min="266" max="307" width="11.44140625" customWidth="1"/>
    <col min="513" max="513" width="11.44140625" customWidth="1"/>
    <col min="515" max="515" width="21.44140625" customWidth="1"/>
    <col min="516" max="516" width="39.44140625" customWidth="1"/>
    <col min="517" max="517" width="20.77734375" customWidth="1"/>
    <col min="518" max="518" width="6" customWidth="1"/>
    <col min="519" max="519" width="7.109375" customWidth="1"/>
    <col min="520" max="520" width="3.109375" customWidth="1"/>
    <col min="521" max="521" width="24.21875" customWidth="1"/>
    <col min="522" max="563" width="11.44140625" customWidth="1"/>
    <col min="769" max="769" width="11.44140625" customWidth="1"/>
    <col min="771" max="771" width="21.44140625" customWidth="1"/>
    <col min="772" max="772" width="39.44140625" customWidth="1"/>
    <col min="773" max="773" width="20.77734375" customWidth="1"/>
    <col min="774" max="774" width="6" customWidth="1"/>
    <col min="775" max="775" width="7.109375" customWidth="1"/>
    <col min="776" max="776" width="3.109375" customWidth="1"/>
    <col min="777" max="777" width="24.21875" customWidth="1"/>
    <col min="778" max="819" width="11.44140625" customWidth="1"/>
    <col min="1025" max="1025" width="11.44140625" customWidth="1"/>
    <col min="1027" max="1027" width="21.44140625" customWidth="1"/>
    <col min="1028" max="1028" width="39.44140625" customWidth="1"/>
    <col min="1029" max="1029" width="20.77734375" customWidth="1"/>
    <col min="1030" max="1030" width="6" customWidth="1"/>
    <col min="1031" max="1031" width="7.109375" customWidth="1"/>
    <col min="1032" max="1032" width="3.109375" customWidth="1"/>
    <col min="1033" max="1033" width="24.21875" customWidth="1"/>
    <col min="1034" max="1075" width="11.44140625" customWidth="1"/>
    <col min="1281" max="1281" width="11.44140625" customWidth="1"/>
    <col min="1283" max="1283" width="21.44140625" customWidth="1"/>
    <col min="1284" max="1284" width="39.44140625" customWidth="1"/>
    <col min="1285" max="1285" width="20.77734375" customWidth="1"/>
    <col min="1286" max="1286" width="6" customWidth="1"/>
    <col min="1287" max="1287" width="7.109375" customWidth="1"/>
    <col min="1288" max="1288" width="3.109375" customWidth="1"/>
    <col min="1289" max="1289" width="24.21875" customWidth="1"/>
    <col min="1290" max="1331" width="11.44140625" customWidth="1"/>
    <col min="1537" max="1537" width="11.44140625" customWidth="1"/>
    <col min="1539" max="1539" width="21.44140625" customWidth="1"/>
    <col min="1540" max="1540" width="39.44140625" customWidth="1"/>
    <col min="1541" max="1541" width="20.77734375" customWidth="1"/>
    <col min="1542" max="1542" width="6" customWidth="1"/>
    <col min="1543" max="1543" width="7.109375" customWidth="1"/>
    <col min="1544" max="1544" width="3.109375" customWidth="1"/>
    <col min="1545" max="1545" width="24.21875" customWidth="1"/>
    <col min="1546" max="1587" width="11.44140625" customWidth="1"/>
    <col min="1793" max="1793" width="11.44140625" customWidth="1"/>
    <col min="1795" max="1795" width="21.44140625" customWidth="1"/>
    <col min="1796" max="1796" width="39.44140625" customWidth="1"/>
    <col min="1797" max="1797" width="20.77734375" customWidth="1"/>
    <col min="1798" max="1798" width="6" customWidth="1"/>
    <col min="1799" max="1799" width="7.109375" customWidth="1"/>
    <col min="1800" max="1800" width="3.109375" customWidth="1"/>
    <col min="1801" max="1801" width="24.21875" customWidth="1"/>
    <col min="1802" max="1843" width="11.44140625" customWidth="1"/>
    <col min="2049" max="2049" width="11.44140625" customWidth="1"/>
    <col min="2051" max="2051" width="21.44140625" customWidth="1"/>
    <col min="2052" max="2052" width="39.44140625" customWidth="1"/>
    <col min="2053" max="2053" width="20.77734375" customWidth="1"/>
    <col min="2054" max="2054" width="6" customWidth="1"/>
    <col min="2055" max="2055" width="7.109375" customWidth="1"/>
    <col min="2056" max="2056" width="3.109375" customWidth="1"/>
    <col min="2057" max="2057" width="24.21875" customWidth="1"/>
    <col min="2058" max="2099" width="11.44140625" customWidth="1"/>
    <col min="2305" max="2305" width="11.44140625" customWidth="1"/>
    <col min="2307" max="2307" width="21.44140625" customWidth="1"/>
    <col min="2308" max="2308" width="39.44140625" customWidth="1"/>
    <col min="2309" max="2309" width="20.77734375" customWidth="1"/>
    <col min="2310" max="2310" width="6" customWidth="1"/>
    <col min="2311" max="2311" width="7.109375" customWidth="1"/>
    <col min="2312" max="2312" width="3.109375" customWidth="1"/>
    <col min="2313" max="2313" width="24.21875" customWidth="1"/>
    <col min="2314" max="2355" width="11.44140625" customWidth="1"/>
    <col min="2561" max="2561" width="11.44140625" customWidth="1"/>
    <col min="2563" max="2563" width="21.44140625" customWidth="1"/>
    <col min="2564" max="2564" width="39.44140625" customWidth="1"/>
    <col min="2565" max="2565" width="20.77734375" customWidth="1"/>
    <col min="2566" max="2566" width="6" customWidth="1"/>
    <col min="2567" max="2567" width="7.109375" customWidth="1"/>
    <col min="2568" max="2568" width="3.109375" customWidth="1"/>
    <col min="2569" max="2569" width="24.21875" customWidth="1"/>
    <col min="2570" max="2611" width="11.44140625" customWidth="1"/>
    <col min="2817" max="2817" width="11.44140625" customWidth="1"/>
    <col min="2819" max="2819" width="21.44140625" customWidth="1"/>
    <col min="2820" max="2820" width="39.44140625" customWidth="1"/>
    <col min="2821" max="2821" width="20.77734375" customWidth="1"/>
    <col min="2822" max="2822" width="6" customWidth="1"/>
    <col min="2823" max="2823" width="7.109375" customWidth="1"/>
    <col min="2824" max="2824" width="3.109375" customWidth="1"/>
    <col min="2825" max="2825" width="24.21875" customWidth="1"/>
    <col min="2826" max="2867" width="11.44140625" customWidth="1"/>
    <col min="3073" max="3073" width="11.44140625" customWidth="1"/>
    <col min="3075" max="3075" width="21.44140625" customWidth="1"/>
    <col min="3076" max="3076" width="39.44140625" customWidth="1"/>
    <col min="3077" max="3077" width="20.77734375" customWidth="1"/>
    <col min="3078" max="3078" width="6" customWidth="1"/>
    <col min="3079" max="3079" width="7.109375" customWidth="1"/>
    <col min="3080" max="3080" width="3.109375" customWidth="1"/>
    <col min="3081" max="3081" width="24.21875" customWidth="1"/>
    <col min="3082" max="3123" width="11.44140625" customWidth="1"/>
    <col min="3329" max="3329" width="11.44140625" customWidth="1"/>
    <col min="3331" max="3331" width="21.44140625" customWidth="1"/>
    <col min="3332" max="3332" width="39.44140625" customWidth="1"/>
    <col min="3333" max="3333" width="20.77734375" customWidth="1"/>
    <col min="3334" max="3334" width="6" customWidth="1"/>
    <col min="3335" max="3335" width="7.109375" customWidth="1"/>
    <col min="3336" max="3336" width="3.109375" customWidth="1"/>
    <col min="3337" max="3337" width="24.21875" customWidth="1"/>
    <col min="3338" max="3379" width="11.44140625" customWidth="1"/>
    <col min="3585" max="3585" width="11.44140625" customWidth="1"/>
    <col min="3587" max="3587" width="21.44140625" customWidth="1"/>
    <col min="3588" max="3588" width="39.44140625" customWidth="1"/>
    <col min="3589" max="3589" width="20.77734375" customWidth="1"/>
    <col min="3590" max="3590" width="6" customWidth="1"/>
    <col min="3591" max="3591" width="7.109375" customWidth="1"/>
    <col min="3592" max="3592" width="3.109375" customWidth="1"/>
    <col min="3593" max="3593" width="24.21875" customWidth="1"/>
    <col min="3594" max="3635" width="11.44140625" customWidth="1"/>
    <col min="3841" max="3841" width="11.44140625" customWidth="1"/>
    <col min="3843" max="3843" width="21.44140625" customWidth="1"/>
    <col min="3844" max="3844" width="39.44140625" customWidth="1"/>
    <col min="3845" max="3845" width="20.77734375" customWidth="1"/>
    <col min="3846" max="3846" width="6" customWidth="1"/>
    <col min="3847" max="3847" width="7.109375" customWidth="1"/>
    <col min="3848" max="3848" width="3.109375" customWidth="1"/>
    <col min="3849" max="3849" width="24.21875" customWidth="1"/>
    <col min="3850" max="3891" width="11.44140625" customWidth="1"/>
    <col min="4097" max="4097" width="11.44140625" customWidth="1"/>
    <col min="4099" max="4099" width="21.44140625" customWidth="1"/>
    <col min="4100" max="4100" width="39.44140625" customWidth="1"/>
    <col min="4101" max="4101" width="20.77734375" customWidth="1"/>
    <col min="4102" max="4102" width="6" customWidth="1"/>
    <col min="4103" max="4103" width="7.109375" customWidth="1"/>
    <col min="4104" max="4104" width="3.109375" customWidth="1"/>
    <col min="4105" max="4105" width="24.21875" customWidth="1"/>
    <col min="4106" max="4147" width="11.44140625" customWidth="1"/>
    <col min="4353" max="4353" width="11.44140625" customWidth="1"/>
    <col min="4355" max="4355" width="21.44140625" customWidth="1"/>
    <col min="4356" max="4356" width="39.44140625" customWidth="1"/>
    <col min="4357" max="4357" width="20.77734375" customWidth="1"/>
    <col min="4358" max="4358" width="6" customWidth="1"/>
    <col min="4359" max="4359" width="7.109375" customWidth="1"/>
    <col min="4360" max="4360" width="3.109375" customWidth="1"/>
    <col min="4361" max="4361" width="24.21875" customWidth="1"/>
    <col min="4362" max="4403" width="11.44140625" customWidth="1"/>
    <col min="4609" max="4609" width="11.44140625" customWidth="1"/>
    <col min="4611" max="4611" width="21.44140625" customWidth="1"/>
    <col min="4612" max="4612" width="39.44140625" customWidth="1"/>
    <col min="4613" max="4613" width="20.77734375" customWidth="1"/>
    <col min="4614" max="4614" width="6" customWidth="1"/>
    <col min="4615" max="4615" width="7.109375" customWidth="1"/>
    <col min="4616" max="4616" width="3.109375" customWidth="1"/>
    <col min="4617" max="4617" width="24.21875" customWidth="1"/>
    <col min="4618" max="4659" width="11.44140625" customWidth="1"/>
    <col min="4865" max="4865" width="11.44140625" customWidth="1"/>
    <col min="4867" max="4867" width="21.44140625" customWidth="1"/>
    <col min="4868" max="4868" width="39.44140625" customWidth="1"/>
    <col min="4869" max="4869" width="20.77734375" customWidth="1"/>
    <col min="4870" max="4870" width="6" customWidth="1"/>
    <col min="4871" max="4871" width="7.109375" customWidth="1"/>
    <col min="4872" max="4872" width="3.109375" customWidth="1"/>
    <col min="4873" max="4873" width="24.21875" customWidth="1"/>
    <col min="4874" max="4915" width="11.44140625" customWidth="1"/>
    <col min="5121" max="5121" width="11.44140625" customWidth="1"/>
    <col min="5123" max="5123" width="21.44140625" customWidth="1"/>
    <col min="5124" max="5124" width="39.44140625" customWidth="1"/>
    <col min="5125" max="5125" width="20.77734375" customWidth="1"/>
    <col min="5126" max="5126" width="6" customWidth="1"/>
    <col min="5127" max="5127" width="7.109375" customWidth="1"/>
    <col min="5128" max="5128" width="3.109375" customWidth="1"/>
    <col min="5129" max="5129" width="24.21875" customWidth="1"/>
    <col min="5130" max="5171" width="11.44140625" customWidth="1"/>
    <col min="5377" max="5377" width="11.44140625" customWidth="1"/>
    <col min="5379" max="5379" width="21.44140625" customWidth="1"/>
    <col min="5380" max="5380" width="39.44140625" customWidth="1"/>
    <col min="5381" max="5381" width="20.77734375" customWidth="1"/>
    <col min="5382" max="5382" width="6" customWidth="1"/>
    <col min="5383" max="5383" width="7.109375" customWidth="1"/>
    <col min="5384" max="5384" width="3.109375" customWidth="1"/>
    <col min="5385" max="5385" width="24.21875" customWidth="1"/>
    <col min="5386" max="5427" width="11.44140625" customWidth="1"/>
    <col min="5633" max="5633" width="11.44140625" customWidth="1"/>
    <col min="5635" max="5635" width="21.44140625" customWidth="1"/>
    <col min="5636" max="5636" width="39.44140625" customWidth="1"/>
    <col min="5637" max="5637" width="20.77734375" customWidth="1"/>
    <col min="5638" max="5638" width="6" customWidth="1"/>
    <col min="5639" max="5639" width="7.109375" customWidth="1"/>
    <col min="5640" max="5640" width="3.109375" customWidth="1"/>
    <col min="5641" max="5641" width="24.21875" customWidth="1"/>
    <col min="5642" max="5683" width="11.44140625" customWidth="1"/>
    <col min="5889" max="5889" width="11.44140625" customWidth="1"/>
    <col min="5891" max="5891" width="21.44140625" customWidth="1"/>
    <col min="5892" max="5892" width="39.44140625" customWidth="1"/>
    <col min="5893" max="5893" width="20.77734375" customWidth="1"/>
    <col min="5894" max="5894" width="6" customWidth="1"/>
    <col min="5895" max="5895" width="7.109375" customWidth="1"/>
    <col min="5896" max="5896" width="3.109375" customWidth="1"/>
    <col min="5897" max="5897" width="24.21875" customWidth="1"/>
    <col min="5898" max="5939" width="11.44140625" customWidth="1"/>
    <col min="6145" max="6145" width="11.44140625" customWidth="1"/>
    <col min="6147" max="6147" width="21.44140625" customWidth="1"/>
    <col min="6148" max="6148" width="39.44140625" customWidth="1"/>
    <col min="6149" max="6149" width="20.77734375" customWidth="1"/>
    <col min="6150" max="6150" width="6" customWidth="1"/>
    <col min="6151" max="6151" width="7.109375" customWidth="1"/>
    <col min="6152" max="6152" width="3.109375" customWidth="1"/>
    <col min="6153" max="6153" width="24.21875" customWidth="1"/>
    <col min="6154" max="6195" width="11.44140625" customWidth="1"/>
    <col min="6401" max="6401" width="11.44140625" customWidth="1"/>
    <col min="6403" max="6403" width="21.44140625" customWidth="1"/>
    <col min="6404" max="6404" width="39.44140625" customWidth="1"/>
    <col min="6405" max="6405" width="20.77734375" customWidth="1"/>
    <col min="6406" max="6406" width="6" customWidth="1"/>
    <col min="6407" max="6407" width="7.109375" customWidth="1"/>
    <col min="6408" max="6408" width="3.109375" customWidth="1"/>
    <col min="6409" max="6409" width="24.21875" customWidth="1"/>
    <col min="6410" max="6451" width="11.44140625" customWidth="1"/>
    <col min="6657" max="6657" width="11.44140625" customWidth="1"/>
    <col min="6659" max="6659" width="21.44140625" customWidth="1"/>
    <col min="6660" max="6660" width="39.44140625" customWidth="1"/>
    <col min="6661" max="6661" width="20.77734375" customWidth="1"/>
    <col min="6662" max="6662" width="6" customWidth="1"/>
    <col min="6663" max="6663" width="7.109375" customWidth="1"/>
    <col min="6664" max="6664" width="3.109375" customWidth="1"/>
    <col min="6665" max="6665" width="24.21875" customWidth="1"/>
    <col min="6666" max="6707" width="11.44140625" customWidth="1"/>
    <col min="6913" max="6913" width="11.44140625" customWidth="1"/>
    <col min="6915" max="6915" width="21.44140625" customWidth="1"/>
    <col min="6916" max="6916" width="39.44140625" customWidth="1"/>
    <col min="6917" max="6917" width="20.77734375" customWidth="1"/>
    <col min="6918" max="6918" width="6" customWidth="1"/>
    <col min="6919" max="6919" width="7.109375" customWidth="1"/>
    <col min="6920" max="6920" width="3.109375" customWidth="1"/>
    <col min="6921" max="6921" width="24.21875" customWidth="1"/>
    <col min="6922" max="6963" width="11.44140625" customWidth="1"/>
    <col min="7169" max="7169" width="11.44140625" customWidth="1"/>
    <col min="7171" max="7171" width="21.44140625" customWidth="1"/>
    <col min="7172" max="7172" width="39.44140625" customWidth="1"/>
    <col min="7173" max="7173" width="20.77734375" customWidth="1"/>
    <col min="7174" max="7174" width="6" customWidth="1"/>
    <col min="7175" max="7175" width="7.109375" customWidth="1"/>
    <col min="7176" max="7176" width="3.109375" customWidth="1"/>
    <col min="7177" max="7177" width="24.21875" customWidth="1"/>
    <col min="7178" max="7219" width="11.44140625" customWidth="1"/>
    <col min="7425" max="7425" width="11.44140625" customWidth="1"/>
    <col min="7427" max="7427" width="21.44140625" customWidth="1"/>
    <col min="7428" max="7428" width="39.44140625" customWidth="1"/>
    <col min="7429" max="7429" width="20.77734375" customWidth="1"/>
    <col min="7430" max="7430" width="6" customWidth="1"/>
    <col min="7431" max="7431" width="7.109375" customWidth="1"/>
    <col min="7432" max="7432" width="3.109375" customWidth="1"/>
    <col min="7433" max="7433" width="24.21875" customWidth="1"/>
    <col min="7434" max="7475" width="11.44140625" customWidth="1"/>
    <col min="7681" max="7681" width="11.44140625" customWidth="1"/>
    <col min="7683" max="7683" width="21.44140625" customWidth="1"/>
    <col min="7684" max="7684" width="39.44140625" customWidth="1"/>
    <col min="7685" max="7685" width="20.77734375" customWidth="1"/>
    <col min="7686" max="7686" width="6" customWidth="1"/>
    <col min="7687" max="7687" width="7.109375" customWidth="1"/>
    <col min="7688" max="7688" width="3.109375" customWidth="1"/>
    <col min="7689" max="7689" width="24.21875" customWidth="1"/>
    <col min="7690" max="7731" width="11.44140625" customWidth="1"/>
    <col min="7937" max="7937" width="11.44140625" customWidth="1"/>
    <col min="7939" max="7939" width="21.44140625" customWidth="1"/>
    <col min="7940" max="7940" width="39.44140625" customWidth="1"/>
    <col min="7941" max="7941" width="20.77734375" customWidth="1"/>
    <col min="7942" max="7942" width="6" customWidth="1"/>
    <col min="7943" max="7943" width="7.109375" customWidth="1"/>
    <col min="7944" max="7944" width="3.109375" customWidth="1"/>
    <col min="7945" max="7945" width="24.21875" customWidth="1"/>
    <col min="7946" max="7987" width="11.44140625" customWidth="1"/>
    <col min="8193" max="8193" width="11.44140625" customWidth="1"/>
    <col min="8195" max="8195" width="21.44140625" customWidth="1"/>
    <col min="8196" max="8196" width="39.44140625" customWidth="1"/>
    <col min="8197" max="8197" width="20.77734375" customWidth="1"/>
    <col min="8198" max="8198" width="6" customWidth="1"/>
    <col min="8199" max="8199" width="7.109375" customWidth="1"/>
    <col min="8200" max="8200" width="3.109375" customWidth="1"/>
    <col min="8201" max="8201" width="24.21875" customWidth="1"/>
    <col min="8202" max="8243" width="11.44140625" customWidth="1"/>
    <col min="8449" max="8449" width="11.44140625" customWidth="1"/>
    <col min="8451" max="8451" width="21.44140625" customWidth="1"/>
    <col min="8452" max="8452" width="39.44140625" customWidth="1"/>
    <col min="8453" max="8453" width="20.77734375" customWidth="1"/>
    <col min="8454" max="8454" width="6" customWidth="1"/>
    <col min="8455" max="8455" width="7.109375" customWidth="1"/>
    <col min="8456" max="8456" width="3.109375" customWidth="1"/>
    <col min="8457" max="8457" width="24.21875" customWidth="1"/>
    <col min="8458" max="8499" width="11.44140625" customWidth="1"/>
    <col min="8705" max="8705" width="11.44140625" customWidth="1"/>
    <col min="8707" max="8707" width="21.44140625" customWidth="1"/>
    <col min="8708" max="8708" width="39.44140625" customWidth="1"/>
    <col min="8709" max="8709" width="20.77734375" customWidth="1"/>
    <col min="8710" max="8710" width="6" customWidth="1"/>
    <col min="8711" max="8711" width="7.109375" customWidth="1"/>
    <col min="8712" max="8712" width="3.109375" customWidth="1"/>
    <col min="8713" max="8713" width="24.21875" customWidth="1"/>
    <col min="8714" max="8755" width="11.44140625" customWidth="1"/>
    <col min="8961" max="8961" width="11.44140625" customWidth="1"/>
    <col min="8963" max="8963" width="21.44140625" customWidth="1"/>
    <col min="8964" max="8964" width="39.44140625" customWidth="1"/>
    <col min="8965" max="8965" width="20.77734375" customWidth="1"/>
    <col min="8966" max="8966" width="6" customWidth="1"/>
    <col min="8967" max="8967" width="7.109375" customWidth="1"/>
    <col min="8968" max="8968" width="3.109375" customWidth="1"/>
    <col min="8969" max="8969" width="24.21875" customWidth="1"/>
    <col min="8970" max="9011" width="11.44140625" customWidth="1"/>
    <col min="9217" max="9217" width="11.44140625" customWidth="1"/>
    <col min="9219" max="9219" width="21.44140625" customWidth="1"/>
    <col min="9220" max="9220" width="39.44140625" customWidth="1"/>
    <col min="9221" max="9221" width="20.77734375" customWidth="1"/>
    <col min="9222" max="9222" width="6" customWidth="1"/>
    <col min="9223" max="9223" width="7.109375" customWidth="1"/>
    <col min="9224" max="9224" width="3.109375" customWidth="1"/>
    <col min="9225" max="9225" width="24.21875" customWidth="1"/>
    <col min="9226" max="9267" width="11.44140625" customWidth="1"/>
    <col min="9473" max="9473" width="11.44140625" customWidth="1"/>
    <col min="9475" max="9475" width="21.44140625" customWidth="1"/>
    <col min="9476" max="9476" width="39.44140625" customWidth="1"/>
    <col min="9477" max="9477" width="20.77734375" customWidth="1"/>
    <col min="9478" max="9478" width="6" customWidth="1"/>
    <col min="9479" max="9479" width="7.109375" customWidth="1"/>
    <col min="9480" max="9480" width="3.109375" customWidth="1"/>
    <col min="9481" max="9481" width="24.21875" customWidth="1"/>
    <col min="9482" max="9523" width="11.44140625" customWidth="1"/>
    <col min="9729" max="9729" width="11.44140625" customWidth="1"/>
    <col min="9731" max="9731" width="21.44140625" customWidth="1"/>
    <col min="9732" max="9732" width="39.44140625" customWidth="1"/>
    <col min="9733" max="9733" width="20.77734375" customWidth="1"/>
    <col min="9734" max="9734" width="6" customWidth="1"/>
    <col min="9735" max="9735" width="7.109375" customWidth="1"/>
    <col min="9736" max="9736" width="3.109375" customWidth="1"/>
    <col min="9737" max="9737" width="24.21875" customWidth="1"/>
    <col min="9738" max="9779" width="11.44140625" customWidth="1"/>
    <col min="9985" max="9985" width="11.44140625" customWidth="1"/>
    <col min="9987" max="9987" width="21.44140625" customWidth="1"/>
    <col min="9988" max="9988" width="39.44140625" customWidth="1"/>
    <col min="9989" max="9989" width="20.77734375" customWidth="1"/>
    <col min="9990" max="9990" width="6" customWidth="1"/>
    <col min="9991" max="9991" width="7.109375" customWidth="1"/>
    <col min="9992" max="9992" width="3.109375" customWidth="1"/>
    <col min="9993" max="9993" width="24.21875" customWidth="1"/>
    <col min="9994" max="10035" width="11.44140625" customWidth="1"/>
    <col min="10241" max="10241" width="11.44140625" customWidth="1"/>
    <col min="10243" max="10243" width="21.44140625" customWidth="1"/>
    <col min="10244" max="10244" width="39.44140625" customWidth="1"/>
    <col min="10245" max="10245" width="20.77734375" customWidth="1"/>
    <col min="10246" max="10246" width="6" customWidth="1"/>
    <col min="10247" max="10247" width="7.109375" customWidth="1"/>
    <col min="10248" max="10248" width="3.109375" customWidth="1"/>
    <col min="10249" max="10249" width="24.21875" customWidth="1"/>
    <col min="10250" max="10291" width="11.44140625" customWidth="1"/>
    <col min="10497" max="10497" width="11.44140625" customWidth="1"/>
    <col min="10499" max="10499" width="21.44140625" customWidth="1"/>
    <col min="10500" max="10500" width="39.44140625" customWidth="1"/>
    <col min="10501" max="10501" width="20.77734375" customWidth="1"/>
    <col min="10502" max="10502" width="6" customWidth="1"/>
    <col min="10503" max="10503" width="7.109375" customWidth="1"/>
    <col min="10504" max="10504" width="3.109375" customWidth="1"/>
    <col min="10505" max="10505" width="24.21875" customWidth="1"/>
    <col min="10506" max="10547" width="11.44140625" customWidth="1"/>
    <col min="10753" max="10753" width="11.44140625" customWidth="1"/>
    <col min="10755" max="10755" width="21.44140625" customWidth="1"/>
    <col min="10756" max="10756" width="39.44140625" customWidth="1"/>
    <col min="10757" max="10757" width="20.77734375" customWidth="1"/>
    <col min="10758" max="10758" width="6" customWidth="1"/>
    <col min="10759" max="10759" width="7.109375" customWidth="1"/>
    <col min="10760" max="10760" width="3.109375" customWidth="1"/>
    <col min="10761" max="10761" width="24.21875" customWidth="1"/>
    <col min="10762" max="10803" width="11.44140625" customWidth="1"/>
    <col min="11009" max="11009" width="11.44140625" customWidth="1"/>
    <col min="11011" max="11011" width="21.44140625" customWidth="1"/>
    <col min="11012" max="11012" width="39.44140625" customWidth="1"/>
    <col min="11013" max="11013" width="20.77734375" customWidth="1"/>
    <col min="11014" max="11014" width="6" customWidth="1"/>
    <col min="11015" max="11015" width="7.109375" customWidth="1"/>
    <col min="11016" max="11016" width="3.109375" customWidth="1"/>
    <col min="11017" max="11017" width="24.21875" customWidth="1"/>
    <col min="11018" max="11059" width="11.44140625" customWidth="1"/>
    <col min="11265" max="11265" width="11.44140625" customWidth="1"/>
    <col min="11267" max="11267" width="21.44140625" customWidth="1"/>
    <col min="11268" max="11268" width="39.44140625" customWidth="1"/>
    <col min="11269" max="11269" width="20.77734375" customWidth="1"/>
    <col min="11270" max="11270" width="6" customWidth="1"/>
    <col min="11271" max="11271" width="7.109375" customWidth="1"/>
    <col min="11272" max="11272" width="3.109375" customWidth="1"/>
    <col min="11273" max="11273" width="24.21875" customWidth="1"/>
    <col min="11274" max="11315" width="11.44140625" customWidth="1"/>
    <col min="11521" max="11521" width="11.44140625" customWidth="1"/>
    <col min="11523" max="11523" width="21.44140625" customWidth="1"/>
    <col min="11524" max="11524" width="39.44140625" customWidth="1"/>
    <col min="11525" max="11525" width="20.77734375" customWidth="1"/>
    <col min="11526" max="11526" width="6" customWidth="1"/>
    <col min="11527" max="11527" width="7.109375" customWidth="1"/>
    <col min="11528" max="11528" width="3.109375" customWidth="1"/>
    <col min="11529" max="11529" width="24.21875" customWidth="1"/>
    <col min="11530" max="11571" width="11.44140625" customWidth="1"/>
    <col min="11777" max="11777" width="11.44140625" customWidth="1"/>
    <col min="11779" max="11779" width="21.44140625" customWidth="1"/>
    <col min="11780" max="11780" width="39.44140625" customWidth="1"/>
    <col min="11781" max="11781" width="20.77734375" customWidth="1"/>
    <col min="11782" max="11782" width="6" customWidth="1"/>
    <col min="11783" max="11783" width="7.109375" customWidth="1"/>
    <col min="11784" max="11784" width="3.109375" customWidth="1"/>
    <col min="11785" max="11785" width="24.21875" customWidth="1"/>
    <col min="11786" max="11827" width="11.44140625" customWidth="1"/>
    <col min="12033" max="12033" width="11.44140625" customWidth="1"/>
    <col min="12035" max="12035" width="21.44140625" customWidth="1"/>
    <col min="12036" max="12036" width="39.44140625" customWidth="1"/>
    <col min="12037" max="12037" width="20.77734375" customWidth="1"/>
    <col min="12038" max="12038" width="6" customWidth="1"/>
    <col min="12039" max="12039" width="7.109375" customWidth="1"/>
    <col min="12040" max="12040" width="3.109375" customWidth="1"/>
    <col min="12041" max="12041" width="24.21875" customWidth="1"/>
    <col min="12042" max="12083" width="11.44140625" customWidth="1"/>
    <col min="12289" max="12289" width="11.44140625" customWidth="1"/>
    <col min="12291" max="12291" width="21.44140625" customWidth="1"/>
    <col min="12292" max="12292" width="39.44140625" customWidth="1"/>
    <col min="12293" max="12293" width="20.77734375" customWidth="1"/>
    <col min="12294" max="12294" width="6" customWidth="1"/>
    <col min="12295" max="12295" width="7.109375" customWidth="1"/>
    <col min="12296" max="12296" width="3.109375" customWidth="1"/>
    <col min="12297" max="12297" width="24.21875" customWidth="1"/>
    <col min="12298" max="12339" width="11.44140625" customWidth="1"/>
    <col min="12545" max="12545" width="11.44140625" customWidth="1"/>
    <col min="12547" max="12547" width="21.44140625" customWidth="1"/>
    <col min="12548" max="12548" width="39.44140625" customWidth="1"/>
    <col min="12549" max="12549" width="20.77734375" customWidth="1"/>
    <col min="12550" max="12550" width="6" customWidth="1"/>
    <col min="12551" max="12551" width="7.109375" customWidth="1"/>
    <col min="12552" max="12552" width="3.109375" customWidth="1"/>
    <col min="12553" max="12553" width="24.21875" customWidth="1"/>
    <col min="12554" max="12595" width="11.44140625" customWidth="1"/>
    <col min="12801" max="12801" width="11.44140625" customWidth="1"/>
    <col min="12803" max="12803" width="21.44140625" customWidth="1"/>
    <col min="12804" max="12804" width="39.44140625" customWidth="1"/>
    <col min="12805" max="12805" width="20.77734375" customWidth="1"/>
    <col min="12806" max="12806" width="6" customWidth="1"/>
    <col min="12807" max="12807" width="7.109375" customWidth="1"/>
    <col min="12808" max="12808" width="3.109375" customWidth="1"/>
    <col min="12809" max="12809" width="24.21875" customWidth="1"/>
    <col min="12810" max="12851" width="11.44140625" customWidth="1"/>
    <col min="13057" max="13057" width="11.44140625" customWidth="1"/>
    <col min="13059" max="13059" width="21.44140625" customWidth="1"/>
    <col min="13060" max="13060" width="39.44140625" customWidth="1"/>
    <col min="13061" max="13061" width="20.77734375" customWidth="1"/>
    <col min="13062" max="13062" width="6" customWidth="1"/>
    <col min="13063" max="13063" width="7.109375" customWidth="1"/>
    <col min="13064" max="13064" width="3.109375" customWidth="1"/>
    <col min="13065" max="13065" width="24.21875" customWidth="1"/>
    <col min="13066" max="13107" width="11.44140625" customWidth="1"/>
    <col min="13313" max="13313" width="11.44140625" customWidth="1"/>
    <col min="13315" max="13315" width="21.44140625" customWidth="1"/>
    <col min="13316" max="13316" width="39.44140625" customWidth="1"/>
    <col min="13317" max="13317" width="20.77734375" customWidth="1"/>
    <col min="13318" max="13318" width="6" customWidth="1"/>
    <col min="13319" max="13319" width="7.109375" customWidth="1"/>
    <col min="13320" max="13320" width="3.109375" customWidth="1"/>
    <col min="13321" max="13321" width="24.21875" customWidth="1"/>
    <col min="13322" max="13363" width="11.44140625" customWidth="1"/>
    <col min="13569" max="13569" width="11.44140625" customWidth="1"/>
    <col min="13571" max="13571" width="21.44140625" customWidth="1"/>
    <col min="13572" max="13572" width="39.44140625" customWidth="1"/>
    <col min="13573" max="13573" width="20.77734375" customWidth="1"/>
    <col min="13574" max="13574" width="6" customWidth="1"/>
    <col min="13575" max="13575" width="7.109375" customWidth="1"/>
    <col min="13576" max="13576" width="3.109375" customWidth="1"/>
    <col min="13577" max="13577" width="24.21875" customWidth="1"/>
    <col min="13578" max="13619" width="11.44140625" customWidth="1"/>
    <col min="13825" max="13825" width="11.44140625" customWidth="1"/>
    <col min="13827" max="13827" width="21.44140625" customWidth="1"/>
    <col min="13828" max="13828" width="39.44140625" customWidth="1"/>
    <col min="13829" max="13829" width="20.77734375" customWidth="1"/>
    <col min="13830" max="13830" width="6" customWidth="1"/>
    <col min="13831" max="13831" width="7.109375" customWidth="1"/>
    <col min="13832" max="13832" width="3.109375" customWidth="1"/>
    <col min="13833" max="13833" width="24.21875" customWidth="1"/>
    <col min="13834" max="13875" width="11.44140625" customWidth="1"/>
    <col min="14081" max="14081" width="11.44140625" customWidth="1"/>
    <col min="14083" max="14083" width="21.44140625" customWidth="1"/>
    <col min="14084" max="14084" width="39.44140625" customWidth="1"/>
    <col min="14085" max="14085" width="20.77734375" customWidth="1"/>
    <col min="14086" max="14086" width="6" customWidth="1"/>
    <col min="14087" max="14087" width="7.109375" customWidth="1"/>
    <col min="14088" max="14088" width="3.109375" customWidth="1"/>
    <col min="14089" max="14089" width="24.21875" customWidth="1"/>
    <col min="14090" max="14131" width="11.44140625" customWidth="1"/>
    <col min="14337" max="14337" width="11.44140625" customWidth="1"/>
    <col min="14339" max="14339" width="21.44140625" customWidth="1"/>
    <col min="14340" max="14340" width="39.44140625" customWidth="1"/>
    <col min="14341" max="14341" width="20.77734375" customWidth="1"/>
    <col min="14342" max="14342" width="6" customWidth="1"/>
    <col min="14343" max="14343" width="7.109375" customWidth="1"/>
    <col min="14344" max="14344" width="3.109375" customWidth="1"/>
    <col min="14345" max="14345" width="24.21875" customWidth="1"/>
    <col min="14346" max="14387" width="11.44140625" customWidth="1"/>
    <col min="14593" max="14593" width="11.44140625" customWidth="1"/>
    <col min="14595" max="14595" width="21.44140625" customWidth="1"/>
    <col min="14596" max="14596" width="39.44140625" customWidth="1"/>
    <col min="14597" max="14597" width="20.77734375" customWidth="1"/>
    <col min="14598" max="14598" width="6" customWidth="1"/>
    <col min="14599" max="14599" width="7.109375" customWidth="1"/>
    <col min="14600" max="14600" width="3.109375" customWidth="1"/>
    <col min="14601" max="14601" width="24.21875" customWidth="1"/>
    <col min="14602" max="14643" width="11.44140625" customWidth="1"/>
    <col min="14849" max="14849" width="11.44140625" customWidth="1"/>
    <col min="14851" max="14851" width="21.44140625" customWidth="1"/>
    <col min="14852" max="14852" width="39.44140625" customWidth="1"/>
    <col min="14853" max="14853" width="20.77734375" customWidth="1"/>
    <col min="14854" max="14854" width="6" customWidth="1"/>
    <col min="14855" max="14855" width="7.109375" customWidth="1"/>
    <col min="14856" max="14856" width="3.109375" customWidth="1"/>
    <col min="14857" max="14857" width="24.21875" customWidth="1"/>
    <col min="14858" max="14899" width="11.44140625" customWidth="1"/>
    <col min="15105" max="15105" width="11.44140625" customWidth="1"/>
    <col min="15107" max="15107" width="21.44140625" customWidth="1"/>
    <col min="15108" max="15108" width="39.44140625" customWidth="1"/>
    <col min="15109" max="15109" width="20.77734375" customWidth="1"/>
    <col min="15110" max="15110" width="6" customWidth="1"/>
    <col min="15111" max="15111" width="7.109375" customWidth="1"/>
    <col min="15112" max="15112" width="3.109375" customWidth="1"/>
    <col min="15113" max="15113" width="24.21875" customWidth="1"/>
    <col min="15114" max="15155" width="11.44140625" customWidth="1"/>
    <col min="15361" max="15361" width="11.44140625" customWidth="1"/>
    <col min="15363" max="15363" width="21.44140625" customWidth="1"/>
    <col min="15364" max="15364" width="39.44140625" customWidth="1"/>
    <col min="15365" max="15365" width="20.77734375" customWidth="1"/>
    <col min="15366" max="15366" width="6" customWidth="1"/>
    <col min="15367" max="15367" width="7.109375" customWidth="1"/>
    <col min="15368" max="15368" width="3.109375" customWidth="1"/>
    <col min="15369" max="15369" width="24.21875" customWidth="1"/>
    <col min="15370" max="15411" width="11.44140625" customWidth="1"/>
    <col min="15617" max="15617" width="11.44140625" customWidth="1"/>
    <col min="15619" max="15619" width="21.44140625" customWidth="1"/>
    <col min="15620" max="15620" width="39.44140625" customWidth="1"/>
    <col min="15621" max="15621" width="20.77734375" customWidth="1"/>
    <col min="15622" max="15622" width="6" customWidth="1"/>
    <col min="15623" max="15623" width="7.109375" customWidth="1"/>
    <col min="15624" max="15624" width="3.109375" customWidth="1"/>
    <col min="15625" max="15625" width="24.21875" customWidth="1"/>
    <col min="15626" max="15667" width="11.44140625" customWidth="1"/>
    <col min="15873" max="15873" width="11.44140625" customWidth="1"/>
    <col min="15875" max="15875" width="21.44140625" customWidth="1"/>
    <col min="15876" max="15876" width="39.44140625" customWidth="1"/>
    <col min="15877" max="15877" width="20.77734375" customWidth="1"/>
    <col min="15878" max="15878" width="6" customWidth="1"/>
    <col min="15879" max="15879" width="7.109375" customWidth="1"/>
    <col min="15880" max="15880" width="3.109375" customWidth="1"/>
    <col min="15881" max="15881" width="24.21875" customWidth="1"/>
    <col min="15882" max="15923" width="11.44140625" customWidth="1"/>
    <col min="16129" max="16129" width="11.44140625" customWidth="1"/>
    <col min="16131" max="16131" width="21.44140625" customWidth="1"/>
    <col min="16132" max="16132" width="39.44140625" customWidth="1"/>
    <col min="16133" max="16133" width="20.77734375" customWidth="1"/>
    <col min="16134" max="16134" width="6" customWidth="1"/>
    <col min="16135" max="16135" width="7.109375" customWidth="1"/>
    <col min="16136" max="16136" width="3.109375" customWidth="1"/>
    <col min="16137" max="16137" width="24.21875" customWidth="1"/>
    <col min="16138" max="16179" width="11.44140625" customWidth="1"/>
  </cols>
  <sheetData>
    <row r="1" spans="2:9" ht="15.6" x14ac:dyDescent="0.3">
      <c r="B1" s="1"/>
      <c r="C1" s="2" t="s">
        <v>0</v>
      </c>
      <c r="D1" s="3"/>
      <c r="E1" s="3"/>
      <c r="F1" s="1"/>
      <c r="G1" s="1"/>
      <c r="H1" s="1"/>
      <c r="I1" s="1"/>
    </row>
    <row r="2" spans="2:9" x14ac:dyDescent="0.3">
      <c r="B2" s="1"/>
      <c r="C2" s="4" t="s">
        <v>1</v>
      </c>
      <c r="D2" s="7" t="s">
        <v>10</v>
      </c>
      <c r="E2" s="1"/>
      <c r="F2" s="1"/>
      <c r="G2" s="1"/>
      <c r="H2" s="1"/>
      <c r="I2" s="1"/>
    </row>
    <row r="3" spans="2:9" x14ac:dyDescent="0.3">
      <c r="B3" s="1"/>
      <c r="C3" s="4" t="s">
        <v>2</v>
      </c>
      <c r="D3" s="7" t="s">
        <v>11</v>
      </c>
      <c r="E3" s="1"/>
      <c r="F3" s="1"/>
      <c r="G3" s="1"/>
      <c r="H3" s="1"/>
      <c r="I3" s="1"/>
    </row>
    <row r="4" spans="2:9" x14ac:dyDescent="0.3">
      <c r="B4" s="1"/>
      <c r="C4" s="5" t="s">
        <v>3</v>
      </c>
      <c r="D4" s="7">
        <v>3</v>
      </c>
      <c r="E4" s="1"/>
      <c r="F4" s="1"/>
      <c r="G4" s="1"/>
      <c r="H4" s="1"/>
      <c r="I4" s="1"/>
    </row>
    <row r="5" spans="2:9" x14ac:dyDescent="0.3">
      <c r="B5" s="1"/>
      <c r="C5" s="4" t="s">
        <v>4</v>
      </c>
      <c r="D5" s="7">
        <v>12</v>
      </c>
      <c r="E5" s="1"/>
      <c r="F5" s="1"/>
      <c r="G5" s="1"/>
      <c r="H5" s="1"/>
      <c r="I5" s="1"/>
    </row>
    <row r="6" spans="2:9" x14ac:dyDescent="0.3">
      <c r="B6" s="1"/>
      <c r="C6" s="4" t="s">
        <v>5</v>
      </c>
      <c r="D6" s="7" t="s">
        <v>12</v>
      </c>
      <c r="E6" s="1"/>
      <c r="F6" s="1"/>
      <c r="G6" s="1"/>
      <c r="H6" s="1"/>
      <c r="I6" s="1"/>
    </row>
    <row r="7" spans="2:9" x14ac:dyDescent="0.3">
      <c r="B7" s="1"/>
      <c r="C7" s="4" t="s">
        <v>6</v>
      </c>
      <c r="D7" s="7" t="s">
        <v>7</v>
      </c>
      <c r="E7" s="1"/>
      <c r="F7" s="1"/>
      <c r="G7" s="1"/>
      <c r="H7" s="1"/>
      <c r="I7" s="1"/>
    </row>
    <row r="8" spans="2:9" x14ac:dyDescent="0.3">
      <c r="B8" s="1"/>
      <c r="C8" s="4" t="s">
        <v>8</v>
      </c>
      <c r="D8" s="7">
        <v>2026</v>
      </c>
      <c r="E8" s="1"/>
      <c r="F8" s="1"/>
      <c r="G8" s="1"/>
      <c r="H8" s="1"/>
      <c r="I8" s="1"/>
    </row>
    <row r="9" spans="2:9" x14ac:dyDescent="0.3">
      <c r="B9" s="1"/>
      <c r="C9" s="5" t="s">
        <v>13</v>
      </c>
      <c r="D9" s="7"/>
      <c r="E9" s="1"/>
      <c r="F9" s="1"/>
      <c r="G9" s="1"/>
      <c r="H9" s="1"/>
      <c r="I9" s="1"/>
    </row>
    <row r="10" spans="2:9" ht="15.6" x14ac:dyDescent="0.3">
      <c r="B10" s="1"/>
      <c r="C10" s="2" t="s">
        <v>9</v>
      </c>
      <c r="D10" s="2"/>
      <c r="E10" s="1"/>
      <c r="F10" s="1"/>
      <c r="G10" s="1"/>
      <c r="H10" s="1"/>
      <c r="I10" s="1"/>
    </row>
    <row r="11" spans="2:9" s="6" customFormat="1" ht="15.6" x14ac:dyDescent="0.3">
      <c r="B11" s="8"/>
      <c r="C11" s="8"/>
      <c r="D11" s="9"/>
      <c r="E11" s="8"/>
      <c r="F11" s="8"/>
      <c r="G11" s="8"/>
      <c r="H11" s="8"/>
      <c r="I11" s="8"/>
    </row>
    <row r="12" spans="2:9" ht="22.5" customHeight="1" x14ac:dyDescent="0.3">
      <c r="B12" s="37" t="str">
        <f>[1]!nomcia()</f>
        <v/>
      </c>
      <c r="C12" s="37"/>
      <c r="D12" s="37"/>
      <c r="E12" s="37"/>
      <c r="F12" s="37"/>
      <c r="G12" s="37"/>
      <c r="H12" s="37"/>
      <c r="I12" s="37"/>
    </row>
    <row r="13" spans="2:9" ht="23.25" customHeight="1" x14ac:dyDescent="0.3">
      <c r="B13" s="37" t="str">
        <f>CONCATENATE("ESTADO DE POSICION FINANCIERA (BALANCE) ", D8)</f>
        <v>ESTADO DE POSICION FINANCIERA (BALANCE) 2026</v>
      </c>
      <c r="C13" s="37"/>
      <c r="D13" s="37"/>
      <c r="E13" s="37"/>
      <c r="F13" s="37"/>
      <c r="G13" s="37"/>
      <c r="H13" s="37"/>
      <c r="I13" s="37"/>
    </row>
    <row r="14" spans="2:9" ht="17.25" customHeight="1" x14ac:dyDescent="0.3">
      <c r="B14" s="38">
        <f ca="1">TODAY()</f>
        <v>46146</v>
      </c>
      <c r="C14" s="38"/>
      <c r="D14" s="38"/>
      <c r="E14" s="38"/>
      <c r="F14" s="38"/>
      <c r="G14" s="38"/>
      <c r="H14" s="38"/>
      <c r="I14" s="38"/>
    </row>
    <row r="15" spans="2:9" ht="17.399999999999999" thickBot="1" x14ac:dyDescent="0.35">
      <c r="B15" s="10" t="s">
        <v>14</v>
      </c>
      <c r="C15" s="11"/>
      <c r="D15" s="11"/>
      <c r="E15" s="11"/>
      <c r="F15" s="11"/>
      <c r="G15" s="11"/>
      <c r="H15" s="11"/>
      <c r="I15" s="12"/>
    </row>
    <row r="16" spans="2:9" x14ac:dyDescent="0.3">
      <c r="B16" s="33" t="s">
        <v>15</v>
      </c>
      <c r="C16" s="34"/>
      <c r="D16" s="34"/>
      <c r="E16" s="34"/>
      <c r="F16" s="34"/>
      <c r="G16" s="34"/>
      <c r="H16" s="34"/>
      <c r="I16" s="13" t="e">
        <f>[1]!SaldoContableCuentaCadena("10101,10201",$D$5,$D$6,$D$7,$D$8)</f>
        <v>#VALUE!</v>
      </c>
    </row>
    <row r="17" spans="2:9" x14ac:dyDescent="0.3">
      <c r="B17" s="22" t="s">
        <v>16</v>
      </c>
      <c r="C17" s="23"/>
      <c r="D17" s="23"/>
      <c r="E17" s="23"/>
      <c r="F17" s="23"/>
      <c r="G17" s="23"/>
      <c r="H17" s="23"/>
      <c r="I17" s="13" t="e">
        <f>[1]!SaldoContableCuentaCadena("10202,10201",$D$5,$D$6,$D$7,$D$8)</f>
        <v>#VALUE!</v>
      </c>
    </row>
    <row r="18" spans="2:9" x14ac:dyDescent="0.3">
      <c r="B18" s="39" t="s">
        <v>17</v>
      </c>
      <c r="C18" s="40"/>
      <c r="D18" s="40"/>
      <c r="E18" s="40"/>
      <c r="F18" s="40"/>
      <c r="G18" s="40"/>
      <c r="H18" s="40"/>
      <c r="I18" s="13" t="e">
        <f>[1]!SaldoContableCuentaCadena("10301,10302",$D$5,$D$6,$D$7,$D$8)</f>
        <v>#VALUE!</v>
      </c>
    </row>
    <row r="19" spans="2:9" x14ac:dyDescent="0.3">
      <c r="B19" s="39" t="s">
        <v>18</v>
      </c>
      <c r="C19" s="40"/>
      <c r="D19" s="40"/>
      <c r="E19" s="40"/>
      <c r="F19" s="40"/>
      <c r="G19" s="40"/>
      <c r="H19" s="40"/>
      <c r="I19" s="13" t="e">
        <f>[1]!SaldoContableCuentaCadena("10303",$D$5,$D$6,$D$7,$D$8)</f>
        <v>#VALUE!</v>
      </c>
    </row>
    <row r="20" spans="2:9" x14ac:dyDescent="0.3">
      <c r="B20" s="39" t="s">
        <v>19</v>
      </c>
      <c r="C20" s="40"/>
      <c r="D20" s="40"/>
      <c r="E20" s="40"/>
      <c r="F20" s="40"/>
      <c r="G20" s="40"/>
      <c r="H20" s="40"/>
      <c r="I20" s="13" t="e">
        <f>[1]!SaldoContableCuentaCadena("10603,18603,10610,18610",$D$5,$D$6,$D$7,$D$8)</f>
        <v>#VALUE!</v>
      </c>
    </row>
    <row r="21" spans="2:9" ht="15" thickBot="1" x14ac:dyDescent="0.35">
      <c r="B21" s="41" t="s">
        <v>20</v>
      </c>
      <c r="C21" s="42"/>
      <c r="D21" s="42"/>
      <c r="E21" s="42"/>
      <c r="F21" s="42"/>
      <c r="G21" s="42"/>
      <c r="H21" s="42"/>
      <c r="I21" s="13" t="e">
        <f>[1]!SaldoContableCuentaCadena("10601,18601,10609,18609",$D$5,$D$6,$D$7,$D$8)</f>
        <v>#VALUE!</v>
      </c>
    </row>
    <row r="22" spans="2:9" ht="15" thickBot="1" x14ac:dyDescent="0.35">
      <c r="B22" s="28" t="s">
        <v>21</v>
      </c>
      <c r="C22" s="29"/>
      <c r="D22" s="29"/>
      <c r="E22" s="29"/>
      <c r="F22" s="29"/>
      <c r="G22" s="29"/>
      <c r="H22" s="30"/>
      <c r="I22" s="14" t="e">
        <f>+I20+I21</f>
        <v>#VALUE!</v>
      </c>
    </row>
    <row r="23" spans="2:9" x14ac:dyDescent="0.3">
      <c r="B23" s="39" t="s">
        <v>22</v>
      </c>
      <c r="C23" s="40"/>
      <c r="D23" s="40"/>
      <c r="E23" s="40"/>
      <c r="F23" s="40"/>
      <c r="G23" s="40"/>
      <c r="H23" s="40"/>
      <c r="I23" s="13" t="e">
        <f>[1]!SaldoContableCuentaCadena("10604,18604",$D$5,$D$6,$D$7,$D$8)</f>
        <v>#VALUE!</v>
      </c>
    </row>
    <row r="24" spans="2:9" ht="15" thickBot="1" x14ac:dyDescent="0.35">
      <c r="B24" s="35" t="s">
        <v>23</v>
      </c>
      <c r="C24" s="36"/>
      <c r="D24" s="36"/>
      <c r="E24" s="36"/>
      <c r="F24" s="36"/>
      <c r="G24" s="36"/>
      <c r="H24" s="36"/>
      <c r="I24" s="13" t="e">
        <f>[1]!SaldoContableCuentaCadena("10602,18602",$D$5,$D$6,$D$7,$D$8)</f>
        <v>#VALUE!</v>
      </c>
    </row>
    <row r="25" spans="2:9" ht="15" thickBot="1" x14ac:dyDescent="0.35">
      <c r="B25" s="28" t="s">
        <v>24</v>
      </c>
      <c r="C25" s="29"/>
      <c r="D25" s="29"/>
      <c r="E25" s="29"/>
      <c r="F25" s="29"/>
      <c r="G25" s="29"/>
      <c r="H25" s="30"/>
      <c r="I25" s="14" t="e">
        <f>+I23+I24</f>
        <v>#VALUE!</v>
      </c>
    </row>
    <row r="26" spans="2:9" x14ac:dyDescent="0.3">
      <c r="B26" s="22" t="s">
        <v>25</v>
      </c>
      <c r="C26" s="23"/>
      <c r="D26" s="23"/>
      <c r="E26" s="23"/>
      <c r="F26" s="23"/>
      <c r="G26" s="23"/>
      <c r="H26" s="23"/>
      <c r="I26" s="13" t="e">
        <f>[1]!SaldoContableCuentaCadena("113",$D$5,$D$6,$D$7,$D$8)</f>
        <v>#VALUE!</v>
      </c>
    </row>
    <row r="27" spans="2:9" x14ac:dyDescent="0.3">
      <c r="B27" s="22" t="s">
        <v>26</v>
      </c>
      <c r="C27" s="23"/>
      <c r="D27" s="23"/>
      <c r="E27" s="23"/>
      <c r="F27" s="23"/>
      <c r="G27" s="23"/>
      <c r="H27" s="23"/>
      <c r="I27" s="13" t="e">
        <f>[1]!SaldoContableCuentaCadena("115,116",$D$5,$D$6,$D$7,$D$8)</f>
        <v>#VALUE!</v>
      </c>
    </row>
    <row r="28" spans="2:9" x14ac:dyDescent="0.3">
      <c r="B28" s="22" t="s">
        <v>27</v>
      </c>
      <c r="C28" s="23"/>
      <c r="D28" s="23"/>
      <c r="E28" s="23"/>
      <c r="F28" s="23"/>
      <c r="G28" s="23"/>
      <c r="H28" s="23"/>
      <c r="I28" s="13" t="e">
        <f>[1]!SaldoContableCuentaCadena("121",$D$5,$D$6,$D$7,$D$8)</f>
        <v>#VALUE!</v>
      </c>
    </row>
    <row r="29" spans="2:9" x14ac:dyDescent="0.3">
      <c r="B29" s="31" t="s">
        <v>28</v>
      </c>
      <c r="C29" s="32"/>
      <c r="D29" s="32"/>
      <c r="E29" s="32"/>
      <c r="F29" s="32"/>
      <c r="G29" s="32"/>
      <c r="H29" s="32"/>
      <c r="I29" s="13" t="e">
        <f>[1]!SaldoContableCuentaCadena("188",$D$5,$D$6,$D$7,$D$8)</f>
        <v>#VALUE!</v>
      </c>
    </row>
    <row r="30" spans="2:9" ht="15" thickBot="1" x14ac:dyDescent="0.35">
      <c r="B30" s="22" t="s">
        <v>29</v>
      </c>
      <c r="C30" s="23"/>
      <c r="D30" s="23"/>
      <c r="E30" s="23"/>
      <c r="F30" s="23"/>
      <c r="G30" s="23"/>
      <c r="H30" s="23"/>
      <c r="I30" s="13">
        <f>[1]!SaldoContableCuentaCadena("",$D$5,$D$6,$D$7,$D$8)</f>
        <v>0</v>
      </c>
    </row>
    <row r="31" spans="2:9" ht="15" thickBot="1" x14ac:dyDescent="0.35">
      <c r="B31" s="28" t="s">
        <v>30</v>
      </c>
      <c r="C31" s="29"/>
      <c r="D31" s="29"/>
      <c r="E31" s="29"/>
      <c r="F31" s="29"/>
      <c r="G31" s="29"/>
      <c r="H31" s="30"/>
      <c r="I31" s="14" t="e">
        <f>+I29+I30</f>
        <v>#VALUE!</v>
      </c>
    </row>
    <row r="32" spans="2:9" x14ac:dyDescent="0.3">
      <c r="B32" s="22" t="s">
        <v>31</v>
      </c>
      <c r="C32" s="23"/>
      <c r="D32" s="23"/>
      <c r="E32" s="23"/>
      <c r="F32" s="23"/>
      <c r="G32" s="23"/>
      <c r="H32" s="23"/>
      <c r="I32" s="13" t="e">
        <f>[1]!SaldoContableCuentaCadena("151,152",$D$5,$D$6,$D$7,$D$8)</f>
        <v>#VALUE!</v>
      </c>
    </row>
    <row r="33" spans="2:9" x14ac:dyDescent="0.3">
      <c r="B33" s="22" t="s">
        <v>32</v>
      </c>
      <c r="C33" s="23"/>
      <c r="D33" s="23"/>
      <c r="E33" s="23"/>
      <c r="F33" s="23"/>
      <c r="G33" s="23"/>
      <c r="H33" s="23"/>
      <c r="I33" s="13" t="e">
        <f>[1]!SaldoContableCuentaCadena("152",$D$5,$D$6,$D$7,$D$8)</f>
        <v>#VALUE!</v>
      </c>
    </row>
    <row r="34" spans="2:9" x14ac:dyDescent="0.3">
      <c r="B34" s="22" t="s">
        <v>33</v>
      </c>
      <c r="C34" s="23"/>
      <c r="D34" s="23"/>
      <c r="E34" s="23"/>
      <c r="F34" s="23"/>
      <c r="G34" s="23"/>
      <c r="H34" s="23"/>
      <c r="I34" s="13" t="e">
        <f>[1]!SaldoContableCuentaCadena("117",$D$5,$D$6,$D$7,$D$8)</f>
        <v>#VALUE!</v>
      </c>
    </row>
    <row r="35" spans="2:9" x14ac:dyDescent="0.3">
      <c r="B35" s="22" t="s">
        <v>34</v>
      </c>
      <c r="C35" s="23"/>
      <c r="D35" s="23"/>
      <c r="E35" s="23"/>
      <c r="F35" s="23"/>
      <c r="G35" s="23"/>
      <c r="H35" s="23"/>
      <c r="I35" s="13" t="e">
        <f>[1]!SaldoContableCuentaCadena("153,168,169",$D$5,$D$6,$D$7,$D$8)</f>
        <v>#VALUE!</v>
      </c>
    </row>
    <row r="36" spans="2:9" x14ac:dyDescent="0.3">
      <c r="B36" s="22" t="s">
        <v>35</v>
      </c>
      <c r="C36" s="23"/>
      <c r="D36" s="23"/>
      <c r="E36" s="23"/>
      <c r="F36" s="23"/>
      <c r="G36" s="23"/>
      <c r="H36" s="23"/>
      <c r="I36" s="13" t="e">
        <f>[1]!SaldoContableCuentaCadena("155,164",$D$5,$D$6,$D$7,$D$8)</f>
        <v>#VALUE!</v>
      </c>
    </row>
    <row r="37" spans="2:9" x14ac:dyDescent="0.3">
      <c r="B37" s="22" t="s">
        <v>36</v>
      </c>
      <c r="C37" s="23"/>
      <c r="D37" s="23"/>
      <c r="E37" s="23"/>
      <c r="F37" s="23"/>
      <c r="G37" s="23"/>
      <c r="H37" s="23"/>
      <c r="I37" s="13" t="e">
        <f>[1]!SaldoContableCuentaCadena("156,157,165,166,,167",$D$5,$D$6,$D$7,$D$8)</f>
        <v>#VALUE!</v>
      </c>
    </row>
    <row r="38" spans="2:9" x14ac:dyDescent="0.3">
      <c r="B38" s="22" t="s">
        <v>37</v>
      </c>
      <c r="C38" s="23"/>
      <c r="D38" s="23"/>
      <c r="E38" s="23"/>
      <c r="F38" s="23"/>
      <c r="G38" s="23"/>
      <c r="H38" s="23"/>
      <c r="I38" s="13" t="e">
        <f>[1]!SaldoContableCuentaCadena("154,161,162,163",$D$5,$D$6,$D$7,$D$8)</f>
        <v>#VALUE!</v>
      </c>
    </row>
    <row r="39" spans="2:9" x14ac:dyDescent="0.3">
      <c r="B39" s="22" t="s">
        <v>38</v>
      </c>
      <c r="C39" s="23"/>
      <c r="D39" s="23"/>
      <c r="E39" s="23"/>
      <c r="F39" s="23"/>
      <c r="G39" s="23"/>
      <c r="H39" s="23"/>
      <c r="I39" s="13" t="e">
        <f>[1]!SaldoContableCuentaCadena("160,158,159",$D$5,$D$6,$D$7,$D$8)</f>
        <v>#VALUE!</v>
      </c>
    </row>
    <row r="40" spans="2:9" x14ac:dyDescent="0.3">
      <c r="B40" s="22" t="s">
        <v>39</v>
      </c>
      <c r="C40" s="23"/>
      <c r="D40" s="23"/>
      <c r="E40" s="23"/>
      <c r="F40" s="23"/>
      <c r="G40" s="23"/>
      <c r="H40" s="23"/>
      <c r="I40" s="13" t="e">
        <f>[1]!SaldoContableCuentaCadena("171",$D$5,$D$6,$D$7,$D$8)</f>
        <v>#VALUE!</v>
      </c>
    </row>
    <row r="41" spans="2:9" x14ac:dyDescent="0.3">
      <c r="B41" s="22" t="s">
        <v>40</v>
      </c>
      <c r="C41" s="23"/>
      <c r="D41" s="23"/>
      <c r="E41" s="23"/>
      <c r="F41" s="23"/>
      <c r="G41" s="23"/>
      <c r="H41" s="23"/>
      <c r="I41" s="13" t="e">
        <f>[1]!SaldoContableCuentaCadena("173,185",$D$5,$D$6,$D$7,$D$8)</f>
        <v>#VALUE!</v>
      </c>
    </row>
    <row r="42" spans="2:9" ht="15" thickBot="1" x14ac:dyDescent="0.35">
      <c r="B42" s="31" t="s">
        <v>41</v>
      </c>
      <c r="C42" s="32"/>
      <c r="D42" s="32"/>
      <c r="E42" s="32"/>
      <c r="F42" s="32"/>
      <c r="G42" s="32"/>
      <c r="H42" s="32"/>
      <c r="I42" s="13" t="e">
        <f>[1]!SaldoContableCuentaCadena("183",$D$5,$D$6,$D$7,$D$8)</f>
        <v>#VALUE!</v>
      </c>
    </row>
    <row r="43" spans="2:9" ht="17.399999999999999" thickBot="1" x14ac:dyDescent="0.35">
      <c r="B43" s="15" t="s">
        <v>42</v>
      </c>
      <c r="C43" s="16"/>
      <c r="D43" s="16"/>
      <c r="E43" s="16"/>
      <c r="F43" s="16"/>
      <c r="G43" s="16"/>
      <c r="H43" s="16"/>
      <c r="I43" s="17" t="e">
        <f>+I16+I17+I18+I19+I22+I25+I26+I28+I31+I32+I33+I34+I35+I36+I37+I38+I39+I40+I41+I42</f>
        <v>#VALUE!</v>
      </c>
    </row>
    <row r="44" spans="2:9" ht="17.399999999999999" thickBot="1" x14ac:dyDescent="0.35">
      <c r="B44" s="15" t="s">
        <v>43</v>
      </c>
      <c r="C44" s="16"/>
      <c r="D44" s="16"/>
      <c r="E44" s="16"/>
      <c r="F44" s="16"/>
      <c r="G44" s="16"/>
      <c r="H44" s="16"/>
      <c r="I44" s="18"/>
    </row>
    <row r="45" spans="2:9" x14ac:dyDescent="0.3">
      <c r="B45" s="33" t="s">
        <v>44</v>
      </c>
      <c r="C45" s="34"/>
      <c r="D45" s="34"/>
      <c r="E45" s="34"/>
      <c r="F45" s="34"/>
      <c r="G45" s="34"/>
      <c r="H45" s="34"/>
      <c r="I45" s="13" t="e">
        <f>[1]!SaldoContableCuentaCadena("20103,20205",$D$5,$D$6,$D$7,$D$8)</f>
        <v>#VALUE!</v>
      </c>
    </row>
    <row r="46" spans="2:9" ht="15" thickBot="1" x14ac:dyDescent="0.35">
      <c r="B46" s="31" t="s">
        <v>45</v>
      </c>
      <c r="C46" s="32"/>
      <c r="D46" s="32"/>
      <c r="E46" s="32"/>
      <c r="F46" s="32"/>
      <c r="G46" s="32"/>
      <c r="H46" s="32"/>
      <c r="I46" s="13" t="e">
        <f>[1]!SaldoContableCuentaCadena("20101,20201,20203",$D$5,$D$6,$D$7,$D$8)</f>
        <v>#VALUE!</v>
      </c>
    </row>
    <row r="47" spans="2:9" ht="15" thickBot="1" x14ac:dyDescent="0.35">
      <c r="B47" s="28" t="s">
        <v>46</v>
      </c>
      <c r="C47" s="29"/>
      <c r="D47" s="29"/>
      <c r="E47" s="29"/>
      <c r="F47" s="29"/>
      <c r="G47" s="29"/>
      <c r="H47" s="30"/>
      <c r="I47" s="14" t="e">
        <f>+I45+I46</f>
        <v>#VALUE!</v>
      </c>
    </row>
    <row r="48" spans="2:9" x14ac:dyDescent="0.3">
      <c r="B48" s="26" t="s">
        <v>47</v>
      </c>
      <c r="C48" s="27"/>
      <c r="D48" s="27"/>
      <c r="E48" s="27"/>
      <c r="F48" s="27"/>
      <c r="G48" s="27"/>
      <c r="H48" s="27"/>
      <c r="I48" s="13" t="e">
        <f>[1]!SaldoContableCuentaCadena("20104,20206",$D$5,$D$6,$D$7,$D$8)</f>
        <v>#VALUE!</v>
      </c>
    </row>
    <row r="49" spans="2:9" ht="15" thickBot="1" x14ac:dyDescent="0.35">
      <c r="B49" s="31" t="s">
        <v>48</v>
      </c>
      <c r="C49" s="32"/>
      <c r="D49" s="32"/>
      <c r="E49" s="32"/>
      <c r="F49" s="32"/>
      <c r="G49" s="32"/>
      <c r="H49" s="32"/>
      <c r="I49" s="13" t="e">
        <f>[1]!SaldoContableCuentaCadena("20102,20202,20204",$D$5,$D$6,$D$7,$D$8)</f>
        <v>#VALUE!</v>
      </c>
    </row>
    <row r="50" spans="2:9" ht="15" thickBot="1" x14ac:dyDescent="0.35">
      <c r="B50" s="28" t="s">
        <v>49</v>
      </c>
      <c r="C50" s="29"/>
      <c r="D50" s="29"/>
      <c r="E50" s="29"/>
      <c r="F50" s="29"/>
      <c r="G50" s="29"/>
      <c r="H50" s="30"/>
      <c r="I50" s="14" t="e">
        <f>+I48+I49</f>
        <v>#VALUE!</v>
      </c>
    </row>
    <row r="51" spans="2:9" x14ac:dyDescent="0.3">
      <c r="B51" s="26" t="s">
        <v>50</v>
      </c>
      <c r="C51" s="27"/>
      <c r="D51" s="27"/>
      <c r="E51" s="27"/>
      <c r="F51" s="27"/>
      <c r="G51" s="27"/>
      <c r="H51" s="27"/>
      <c r="I51" s="13" t="e">
        <f>[1]!SaldoContableCuentaCadena("213",$D$5,$D$6,$D$7,$D$8)</f>
        <v>#VALUE!</v>
      </c>
    </row>
    <row r="52" spans="2:9" x14ac:dyDescent="0.3">
      <c r="B52" s="22" t="s">
        <v>51</v>
      </c>
      <c r="C52" s="23"/>
      <c r="D52" s="23"/>
      <c r="E52" s="23"/>
      <c r="F52" s="23"/>
      <c r="G52" s="23"/>
      <c r="H52" s="23"/>
      <c r="I52" s="13" t="e">
        <f>[1]!SaldoContableCuentaCadena("20603,20604",$D$5,$D$6,$D$7,$D$8)</f>
        <v>#VALUE!</v>
      </c>
    </row>
    <row r="53" spans="2:9" x14ac:dyDescent="0.3">
      <c r="B53" s="22" t="s">
        <v>52</v>
      </c>
      <c r="C53" s="23"/>
      <c r="D53" s="23"/>
      <c r="E53" s="23"/>
      <c r="F53" s="23"/>
      <c r="G53" s="23"/>
      <c r="H53" s="23"/>
      <c r="I53" s="13" t="e">
        <f>[1]!SaldoContableCuentaCadena("20601,20602",$D$5,$D$6,$D$7,$D$8)</f>
        <v>#VALUE!</v>
      </c>
    </row>
    <row r="54" spans="2:9" x14ac:dyDescent="0.3">
      <c r="B54" s="22" t="s">
        <v>53</v>
      </c>
      <c r="C54" s="23"/>
      <c r="D54" s="23"/>
      <c r="E54" s="23"/>
      <c r="F54" s="23"/>
      <c r="G54" s="23"/>
      <c r="H54" s="23"/>
      <c r="I54" s="13" t="e">
        <f>[1]!SaldoContableCuentaCadena("30103",$D$5,$D$6,$D$7,$D$8)</f>
        <v>#VALUE!</v>
      </c>
    </row>
    <row r="55" spans="2:9" ht="15" thickBot="1" x14ac:dyDescent="0.35">
      <c r="B55" s="24" t="s">
        <v>54</v>
      </c>
      <c r="C55" s="25"/>
      <c r="D55" s="25"/>
      <c r="E55" s="25"/>
      <c r="F55" s="25"/>
      <c r="G55" s="25"/>
      <c r="H55" s="25"/>
      <c r="I55" s="13" t="e">
        <f>[1]!SaldoContableCuentaCadena("218,256",$D$5,$D$6,$D$7,$D$8)</f>
        <v>#VALUE!</v>
      </c>
    </row>
    <row r="56" spans="2:9" ht="17.399999999999999" thickBot="1" x14ac:dyDescent="0.35">
      <c r="B56" s="19" t="s">
        <v>55</v>
      </c>
      <c r="C56" s="20"/>
      <c r="D56" s="20"/>
      <c r="E56" s="20"/>
      <c r="F56" s="20"/>
      <c r="G56" s="20"/>
      <c r="H56" s="20"/>
      <c r="I56" s="17" t="e">
        <f>+I47+I50+I51+I52+I53+I54+I55</f>
        <v>#VALUE!</v>
      </c>
    </row>
    <row r="57" spans="2:9" ht="16.8" x14ac:dyDescent="0.3">
      <c r="B57" s="15" t="s">
        <v>56</v>
      </c>
      <c r="C57" s="16"/>
      <c r="D57" s="16"/>
      <c r="E57" s="16"/>
      <c r="F57" s="16"/>
      <c r="G57" s="16"/>
      <c r="H57" s="21"/>
      <c r="I57" s="18"/>
    </row>
    <row r="58" spans="2:9" x14ac:dyDescent="0.3">
      <c r="B58" s="22" t="s">
        <v>57</v>
      </c>
      <c r="C58" s="23"/>
      <c r="D58" s="23"/>
      <c r="E58" s="23"/>
      <c r="F58" s="23"/>
      <c r="G58" s="23"/>
      <c r="H58" s="23"/>
      <c r="I58" s="13" t="e">
        <f>[1]!SaldoContableCuentaCadena("302",$D$5,$D$6,$D$7,$D$8)</f>
        <v>#VALUE!</v>
      </c>
    </row>
    <row r="59" spans="2:9" x14ac:dyDescent="0.3">
      <c r="B59" s="22" t="s">
        <v>58</v>
      </c>
      <c r="C59" s="23"/>
      <c r="D59" s="23"/>
      <c r="E59" s="23"/>
      <c r="F59" s="23"/>
      <c r="G59" s="23"/>
      <c r="H59" s="23"/>
      <c r="I59" s="13" t="e">
        <f>[1]!SaldoContableCuentaCadena("301",$D$5,$D$6,$D$7,$D$8)</f>
        <v>#VALUE!</v>
      </c>
    </row>
    <row r="60" spans="2:9" ht="13.5" customHeight="1" x14ac:dyDescent="0.3">
      <c r="B60" s="22" t="s">
        <v>59</v>
      </c>
      <c r="C60" s="23"/>
      <c r="D60" s="23"/>
      <c r="E60" s="23"/>
      <c r="F60" s="23"/>
      <c r="G60" s="23"/>
      <c r="H60" s="23"/>
      <c r="I60" s="13" t="e">
        <f>[1]!SaldoContableCuentaCadena("303",$D$5,$D$6,$D$7,$D$8)</f>
        <v>#VALUE!</v>
      </c>
    </row>
    <row r="61" spans="2:9" x14ac:dyDescent="0.3">
      <c r="B61" s="22" t="s">
        <v>60</v>
      </c>
      <c r="C61" s="23"/>
      <c r="D61" s="23"/>
      <c r="E61" s="23"/>
      <c r="F61" s="23"/>
      <c r="G61" s="23"/>
      <c r="H61" s="23"/>
      <c r="I61" s="13" t="e">
        <f>[1]!SaldoContableCuentaCadena("306",$D$5,$D$6,$D$7,$D$8)</f>
        <v>#VALUE!</v>
      </c>
    </row>
    <row r="62" spans="2:9" x14ac:dyDescent="0.3">
      <c r="B62" s="22" t="s">
        <v>53</v>
      </c>
      <c r="C62" s="23"/>
      <c r="D62" s="23"/>
      <c r="E62" s="23"/>
      <c r="F62" s="23"/>
      <c r="G62" s="23"/>
      <c r="H62" s="23"/>
      <c r="I62" s="13" t="e">
        <f>[1]!SaldoContableCuentaCadena("30103",$D$5,$D$6,$D$7,$D$8)</f>
        <v>#VALUE!</v>
      </c>
    </row>
    <row r="63" spans="2:9" x14ac:dyDescent="0.3">
      <c r="B63" s="22" t="s">
        <v>61</v>
      </c>
      <c r="C63" s="23"/>
      <c r="D63" s="23"/>
      <c r="E63" s="23"/>
      <c r="F63" s="23"/>
      <c r="G63" s="23"/>
      <c r="H63" s="23"/>
      <c r="I63" s="13" t="e">
        <f>[1]!SaldoContableCuentaCadena("30401",$D$5,$D$6,$D$7,$D$8)</f>
        <v>#VALUE!</v>
      </c>
    </row>
    <row r="64" spans="2:9" x14ac:dyDescent="0.3">
      <c r="B64" s="22" t="s">
        <v>62</v>
      </c>
      <c r="C64" s="23"/>
      <c r="D64" s="23"/>
      <c r="E64" s="23"/>
      <c r="F64" s="23"/>
      <c r="G64" s="23"/>
      <c r="H64" s="23"/>
      <c r="I64" s="13" t="e">
        <f>[1]!SaldoContableCuentaCadena("30501",$D$5,$D$6,$D$7,$D$8)</f>
        <v>#VALUE!</v>
      </c>
    </row>
    <row r="65" spans="2:9" x14ac:dyDescent="0.3">
      <c r="B65" s="22" t="s">
        <v>63</v>
      </c>
      <c r="C65" s="23"/>
      <c r="D65" s="23"/>
      <c r="E65" s="23"/>
      <c r="F65" s="23"/>
      <c r="G65" s="23"/>
      <c r="H65" s="23"/>
      <c r="I65" s="13" t="e">
        <f>[1]!SaldoContableCuentaCadena("30402",$D$5,$D$6,$D$7,$D$8)</f>
        <v>#VALUE!</v>
      </c>
    </row>
    <row r="66" spans="2:9" x14ac:dyDescent="0.3">
      <c r="B66" s="22" t="s">
        <v>64</v>
      </c>
      <c r="C66" s="23"/>
      <c r="D66" s="23"/>
      <c r="E66" s="23"/>
      <c r="F66" s="23"/>
      <c r="G66" s="23"/>
      <c r="H66" s="23"/>
      <c r="I66" s="13" t="e">
        <f>[1]!SaldoContableCuentaCadena("30502",$D$5,$D$6,$D$7,$D$8)</f>
        <v>#VALUE!</v>
      </c>
    </row>
    <row r="67" spans="2:9" x14ac:dyDescent="0.3">
      <c r="B67" s="22" t="s">
        <v>65</v>
      </c>
      <c r="C67" s="23"/>
      <c r="D67" s="23"/>
      <c r="E67" s="23"/>
      <c r="F67" s="23"/>
      <c r="G67" s="23"/>
      <c r="H67" s="23"/>
      <c r="I67" s="13">
        <f>[1]!SaldoContableCuentaCadena("",$D$5,$D$6,$D$7,$D$8)</f>
        <v>0</v>
      </c>
    </row>
    <row r="68" spans="2:9" x14ac:dyDescent="0.3">
      <c r="B68" s="22" t="s">
        <v>66</v>
      </c>
      <c r="C68" s="23"/>
      <c r="D68" s="23"/>
      <c r="E68" s="23"/>
      <c r="F68" s="23"/>
      <c r="G68" s="23"/>
      <c r="H68" s="23"/>
      <c r="I68" s="13">
        <f>[1]!SaldoContableCuentaCadena("",$D$5,$D$6,$D$7,$D$8)</f>
        <v>0</v>
      </c>
    </row>
    <row r="69" spans="2:9" ht="15" thickBot="1" x14ac:dyDescent="0.35">
      <c r="B69" s="24" t="s">
        <v>67</v>
      </c>
      <c r="C69" s="25"/>
      <c r="D69" s="25"/>
      <c r="E69" s="25"/>
      <c r="F69" s="25"/>
      <c r="G69" s="25"/>
      <c r="H69" s="25"/>
      <c r="I69" s="13">
        <f>[1]!SaldoContableCuentaCadena("",$D$5,$D$6,$D$7,$D$8)</f>
        <v>0</v>
      </c>
    </row>
    <row r="70" spans="2:9" ht="17.399999999999999" thickBot="1" x14ac:dyDescent="0.35">
      <c r="B70" s="19" t="s">
        <v>68</v>
      </c>
      <c r="C70" s="20"/>
      <c r="D70" s="20"/>
      <c r="E70" s="20"/>
      <c r="F70" s="20"/>
      <c r="G70" s="20"/>
      <c r="H70" s="20"/>
      <c r="I70" s="17" t="e">
        <f>+I58+I59+I60+I61+I62+I63+I64+I65+I66+I67+I68+I69</f>
        <v>#VALUE!</v>
      </c>
    </row>
    <row r="71" spans="2:9" ht="17.399999999999999" thickBot="1" x14ac:dyDescent="0.35">
      <c r="B71" s="19" t="s">
        <v>69</v>
      </c>
      <c r="C71" s="20"/>
      <c r="D71" s="20"/>
      <c r="E71" s="20"/>
      <c r="F71" s="20"/>
      <c r="G71" s="20"/>
      <c r="H71" s="20"/>
      <c r="I71" s="17" t="e">
        <f>+(I70+I56)</f>
        <v>#VALUE!</v>
      </c>
    </row>
    <row r="72" spans="2:9" s="6" customFormat="1" x14ac:dyDescent="0.3"/>
    <row r="73" spans="2:9" s="6" customFormat="1" x14ac:dyDescent="0.3"/>
    <row r="74" spans="2:9" s="6" customFormat="1" x14ac:dyDescent="0.3"/>
    <row r="75" spans="2:9" s="6" customFormat="1" x14ac:dyDescent="0.3"/>
    <row r="76" spans="2:9" s="6" customFormat="1" x14ac:dyDescent="0.3"/>
    <row r="77" spans="2:9" s="6" customFormat="1" x14ac:dyDescent="0.3"/>
    <row r="78" spans="2:9" s="6" customFormat="1" x14ac:dyDescent="0.3"/>
    <row r="79" spans="2:9" s="6" customFormat="1" x14ac:dyDescent="0.3"/>
    <row r="80" spans="2:9" s="6" customFormat="1" x14ac:dyDescent="0.3"/>
    <row r="81" s="6" customFormat="1" x14ac:dyDescent="0.3"/>
    <row r="82" s="6" customFormat="1" x14ac:dyDescent="0.3"/>
    <row r="83" s="6" customFormat="1" x14ac:dyDescent="0.3"/>
    <row r="84" s="6" customFormat="1" x14ac:dyDescent="0.3"/>
    <row r="85" s="6" customFormat="1" x14ac:dyDescent="0.3"/>
    <row r="86" s="6" customFormat="1" x14ac:dyDescent="0.3"/>
    <row r="87" s="6" customFormat="1" x14ac:dyDescent="0.3"/>
    <row r="88" s="6" customFormat="1" x14ac:dyDescent="0.3"/>
    <row r="89" s="6" customFormat="1" x14ac:dyDescent="0.3"/>
    <row r="90" s="6" customFormat="1" x14ac:dyDescent="0.3"/>
    <row r="91" s="6" customFormat="1" x14ac:dyDescent="0.3"/>
    <row r="92" s="6" customFormat="1" x14ac:dyDescent="0.3"/>
    <row r="93" s="6" customFormat="1" x14ac:dyDescent="0.3"/>
    <row r="94" s="6" customFormat="1" x14ac:dyDescent="0.3"/>
    <row r="95" s="6" customFormat="1" x14ac:dyDescent="0.3"/>
    <row r="96" s="6" customFormat="1" x14ac:dyDescent="0.3"/>
    <row r="97" s="6" customFormat="1" x14ac:dyDescent="0.3"/>
    <row r="98" s="6" customFormat="1" x14ac:dyDescent="0.3"/>
    <row r="99" s="6" customFormat="1" x14ac:dyDescent="0.3"/>
    <row r="100" s="6" customFormat="1" x14ac:dyDescent="0.3"/>
    <row r="101" s="6" customFormat="1" x14ac:dyDescent="0.3"/>
    <row r="102" s="6" customFormat="1" x14ac:dyDescent="0.3"/>
    <row r="103" s="6" customFormat="1" x14ac:dyDescent="0.3"/>
    <row r="104" s="6" customFormat="1" x14ac:dyDescent="0.3"/>
    <row r="105" s="6" customFormat="1" x14ac:dyDescent="0.3"/>
    <row r="106" s="6" customFormat="1" x14ac:dyDescent="0.3"/>
    <row r="107" s="6" customFormat="1" x14ac:dyDescent="0.3"/>
    <row r="108" s="6" customFormat="1" x14ac:dyDescent="0.3"/>
    <row r="109" s="6" customFormat="1" x14ac:dyDescent="0.3"/>
    <row r="110" s="6" customFormat="1" x14ac:dyDescent="0.3"/>
    <row r="111" s="6" customFormat="1" x14ac:dyDescent="0.3"/>
    <row r="112" s="6" customFormat="1" x14ac:dyDescent="0.3"/>
    <row r="113" s="6" customFormat="1" x14ac:dyDescent="0.3"/>
    <row r="114" s="6" customFormat="1" x14ac:dyDescent="0.3"/>
    <row r="115" s="6" customFormat="1" x14ac:dyDescent="0.3"/>
    <row r="116" s="6" customFormat="1" x14ac:dyDescent="0.3"/>
    <row r="117" s="6" customFormat="1" x14ac:dyDescent="0.3"/>
    <row r="118" s="6" customFormat="1" x14ac:dyDescent="0.3"/>
    <row r="119" s="6" customFormat="1" x14ac:dyDescent="0.3"/>
    <row r="120" s="6" customFormat="1" x14ac:dyDescent="0.3"/>
    <row r="121" s="6" customFormat="1" x14ac:dyDescent="0.3"/>
    <row r="122" s="6" customFormat="1" x14ac:dyDescent="0.3"/>
    <row r="123" s="6" customFormat="1" x14ac:dyDescent="0.3"/>
    <row r="124" s="6" customFormat="1" x14ac:dyDescent="0.3"/>
    <row r="125" s="6" customFormat="1" x14ac:dyDescent="0.3"/>
    <row r="126" s="6" customFormat="1" x14ac:dyDescent="0.3"/>
    <row r="127" s="6" customFormat="1" x14ac:dyDescent="0.3"/>
    <row r="128" s="6" customFormat="1" x14ac:dyDescent="0.3"/>
    <row r="129" s="6" customFormat="1" x14ac:dyDescent="0.3"/>
    <row r="130" s="6" customFormat="1" x14ac:dyDescent="0.3"/>
    <row r="131" s="6" customFormat="1" x14ac:dyDescent="0.3"/>
    <row r="132" s="6" customFormat="1" x14ac:dyDescent="0.3"/>
    <row r="133" s="6" customFormat="1" x14ac:dyDescent="0.3"/>
    <row r="134" s="6" customFormat="1" x14ac:dyDescent="0.3"/>
    <row r="135" s="6" customFormat="1" x14ac:dyDescent="0.3"/>
    <row r="136" s="6" customFormat="1" x14ac:dyDescent="0.3"/>
    <row r="137" s="6" customFormat="1" x14ac:dyDescent="0.3"/>
    <row r="138" s="6" customFormat="1" x14ac:dyDescent="0.3"/>
    <row r="139" s="6" customFormat="1" x14ac:dyDescent="0.3"/>
    <row r="140" s="6" customFormat="1" x14ac:dyDescent="0.3"/>
    <row r="141" s="6" customFormat="1" x14ac:dyDescent="0.3"/>
    <row r="142" s="6" customFormat="1" x14ac:dyDescent="0.3"/>
    <row r="143" s="6" customFormat="1" x14ac:dyDescent="0.3"/>
    <row r="144" s="6" customFormat="1" x14ac:dyDescent="0.3"/>
    <row r="145" s="6" customFormat="1" x14ac:dyDescent="0.3"/>
    <row r="146" s="6" customFormat="1" x14ac:dyDescent="0.3"/>
    <row r="147" s="6" customFormat="1" x14ac:dyDescent="0.3"/>
    <row r="148" s="6" customFormat="1" x14ac:dyDescent="0.3"/>
    <row r="149" s="6" customFormat="1" x14ac:dyDescent="0.3"/>
    <row r="150" s="6" customFormat="1" x14ac:dyDescent="0.3"/>
    <row r="151" s="6" customFormat="1" x14ac:dyDescent="0.3"/>
    <row r="152" s="6" customFormat="1" x14ac:dyDescent="0.3"/>
    <row r="153" s="6" customFormat="1" x14ac:dyDescent="0.3"/>
    <row r="154" s="6" customFormat="1" x14ac:dyDescent="0.3"/>
    <row r="155" s="6" customFormat="1" x14ac:dyDescent="0.3"/>
    <row r="156" s="6" customFormat="1" x14ac:dyDescent="0.3"/>
    <row r="157" s="6" customFormat="1" x14ac:dyDescent="0.3"/>
    <row r="158" s="6" customFormat="1" x14ac:dyDescent="0.3"/>
    <row r="159" s="6" customFormat="1" x14ac:dyDescent="0.3"/>
    <row r="160" s="6" customFormat="1" x14ac:dyDescent="0.3"/>
    <row r="161" s="6" customFormat="1" x14ac:dyDescent="0.3"/>
    <row r="162" s="6" customFormat="1" x14ac:dyDescent="0.3"/>
    <row r="163" s="6" customFormat="1" x14ac:dyDescent="0.3"/>
    <row r="164" s="6" customFormat="1" x14ac:dyDescent="0.3"/>
    <row r="165" s="6" customFormat="1" x14ac:dyDescent="0.3"/>
    <row r="166" s="6" customFormat="1" x14ac:dyDescent="0.3"/>
    <row r="167" s="6" customFormat="1" x14ac:dyDescent="0.3"/>
    <row r="168" s="6" customFormat="1" x14ac:dyDescent="0.3"/>
    <row r="169" s="6" customFormat="1" x14ac:dyDescent="0.3"/>
    <row r="170" s="6" customFormat="1" x14ac:dyDescent="0.3"/>
    <row r="171" s="6" customFormat="1" x14ac:dyDescent="0.3"/>
    <row r="172" s="6" customFormat="1" x14ac:dyDescent="0.3"/>
    <row r="173" s="6" customFormat="1" x14ac:dyDescent="0.3"/>
    <row r="174" s="6" customFormat="1" x14ac:dyDescent="0.3"/>
    <row r="175" s="6" customFormat="1" x14ac:dyDescent="0.3"/>
    <row r="176" s="6" customFormat="1" x14ac:dyDescent="0.3"/>
    <row r="177" s="6" customFormat="1" x14ac:dyDescent="0.3"/>
    <row r="178" s="6" customFormat="1" x14ac:dyDescent="0.3"/>
    <row r="179" s="6" customFormat="1" x14ac:dyDescent="0.3"/>
    <row r="180" s="6" customFormat="1" x14ac:dyDescent="0.3"/>
    <row r="181" s="6" customFormat="1" x14ac:dyDescent="0.3"/>
    <row r="182" s="6" customFormat="1" x14ac:dyDescent="0.3"/>
    <row r="183" s="6" customFormat="1" x14ac:dyDescent="0.3"/>
    <row r="184" s="6" customFormat="1" x14ac:dyDescent="0.3"/>
    <row r="185" s="6" customFormat="1" x14ac:dyDescent="0.3"/>
    <row r="186" s="6" customFormat="1" x14ac:dyDescent="0.3"/>
    <row r="187" s="6" customFormat="1" x14ac:dyDescent="0.3"/>
    <row r="188" s="6" customFormat="1" x14ac:dyDescent="0.3"/>
    <row r="189" s="6" customFormat="1" x14ac:dyDescent="0.3"/>
    <row r="190" s="6" customFormat="1" x14ac:dyDescent="0.3"/>
    <row r="191" s="6" customFormat="1" x14ac:dyDescent="0.3"/>
    <row r="192" s="6" customFormat="1" x14ac:dyDescent="0.3"/>
  </sheetData>
  <mergeCells count="53">
    <mergeCell ref="B24:H24"/>
    <mergeCell ref="B12:I12"/>
    <mergeCell ref="B13:I13"/>
    <mergeCell ref="B14:I14"/>
    <mergeCell ref="B16:H16"/>
    <mergeCell ref="B17:H17"/>
    <mergeCell ref="B18:H18"/>
    <mergeCell ref="B19:H19"/>
    <mergeCell ref="B20:H20"/>
    <mergeCell ref="B21:H21"/>
    <mergeCell ref="B22:H22"/>
    <mergeCell ref="B23:H23"/>
    <mergeCell ref="B36:H36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B35:H35"/>
    <mergeCell ref="B50:H50"/>
    <mergeCell ref="B37:H37"/>
    <mergeCell ref="B38:H38"/>
    <mergeCell ref="B39:H39"/>
    <mergeCell ref="B40:H40"/>
    <mergeCell ref="B41:H41"/>
    <mergeCell ref="B42:H42"/>
    <mergeCell ref="B45:H45"/>
    <mergeCell ref="B46:H46"/>
    <mergeCell ref="B47:H47"/>
    <mergeCell ref="B48:H48"/>
    <mergeCell ref="B49:H49"/>
    <mergeCell ref="B64:H64"/>
    <mergeCell ref="B51:H51"/>
    <mergeCell ref="B52:H52"/>
    <mergeCell ref="B53:H53"/>
    <mergeCell ref="B54:H54"/>
    <mergeCell ref="B55:H55"/>
    <mergeCell ref="B58:H58"/>
    <mergeCell ref="B59:H59"/>
    <mergeCell ref="B60:H60"/>
    <mergeCell ref="B61:H61"/>
    <mergeCell ref="B62:H62"/>
    <mergeCell ref="B63:H63"/>
    <mergeCell ref="B65:H65"/>
    <mergeCell ref="B66:H66"/>
    <mergeCell ref="B67:H67"/>
    <mergeCell ref="B68:H68"/>
    <mergeCell ref="B69:H69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ISR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Arboleda</dc:creator>
  <cp:lastModifiedBy>Hernan Arboleda Vergara</cp:lastModifiedBy>
  <dcterms:created xsi:type="dcterms:W3CDTF">2026-04-30T20:11:26Z</dcterms:created>
  <dcterms:modified xsi:type="dcterms:W3CDTF">2026-05-05T03:30:32Z</dcterms:modified>
</cp:coreProperties>
</file>